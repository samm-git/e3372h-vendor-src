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activeX/activeX2.bin" ContentType="application/vnd.ms-office.activeX"/>
  <Override PartName="/xl/activeX/activeX4.bin" ContentType="application/vnd.ms-office.activeX"/>
  <Override PartName="/xl/embeddings/oleObject8.bin" ContentType="application/vnd.openxmlformats-officedocument.oleObject"/>
  <Override PartName="/xl/embeddings/oleObject14.bin" ContentType="application/vnd.openxmlformats-officedocument.oleOb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6.bin" ContentType="application/vnd.openxmlformats-officedocument.oleObject"/>
  <Override PartName="/xl/embeddings/oleObject12.bin" ContentType="application/vnd.openxmlformats-officedocument.oleObject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activeX/activeX5.xml" ContentType="application/vnd.ms-office.activeX+xml"/>
  <Override PartName="/xl/embeddings/oleObject4.bin" ContentType="application/vnd.openxmlformats-officedocument.oleObject"/>
  <Override PartName="/xl/embeddings/oleObject10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embeddings/oleObject18.bin" ContentType="application/vnd.openxmlformats-officedocument.oleObject"/>
  <Override PartName="/xl/activeX/activeX5.bin" ContentType="application/vnd.ms-office.activeX"/>
  <Override PartName="/xl/embeddings/oleObject9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embeddings/oleObject7.bin" ContentType="application/vnd.openxmlformats-officedocument.oleObject"/>
  <Override PartName="/xl/embeddings/oleObject15.bin" ContentType="application/vnd.openxmlformats-officedocument.oleObject"/>
  <Override PartName="/xl/worksheets/sheet14.xml" ContentType="application/vnd.openxmlformats-officedocument.spreadsheetml.worksheet+xml"/>
  <Override PartName="/xl/activeX/activeX1.bin" ContentType="application/vnd.ms-office.activeX"/>
  <Override PartName="/xl/embeddings/oleObject5.bin" ContentType="application/vnd.openxmlformats-officedocument.oleObject"/>
  <Override PartName="/xl/embeddings/oleObject13.bin" ContentType="application/vnd.openxmlformats-officedocument.oleObject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Default Extension="jpeg" ContentType="image/jpeg"/>
  <Override PartName="/xl/embeddings/oleObject3.bin" ContentType="application/vnd.openxmlformats-officedocument.oleObject"/>
  <Override PartName="/xl/embeddings/oleObject11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1670" yWindow="-15" windowWidth="13485" windowHeight="11745" tabRatio="830" firstSheet="2" activeTab="4"/>
  </bookViews>
  <sheets>
    <sheet name="note" sheetId="5" r:id="rId1"/>
    <sheet name="Package" sheetId="1" r:id="rId2"/>
    <sheet name="Die" sheetId="2" r:id="rId3"/>
    <sheet name="Performance" sheetId="3" r:id="rId4"/>
    <sheet name="IO Pad" sheetId="18" r:id="rId5"/>
    <sheet name="GSBI复用说明" sheetId="32" state="hidden" r:id="rId6"/>
    <sheet name="单封Power&amp;Gnd" sheetId="35" r:id="rId7"/>
    <sheet name="合封Power&amp;Gnd" sheetId="34" r:id="rId8"/>
    <sheet name="硬件使用说明" sheetId="22" r:id="rId9"/>
    <sheet name="接口位置图" sheetId="23" r:id="rId10"/>
    <sheet name="IP list" sheetId="19" r:id="rId11"/>
    <sheet name="特殊信号处理" sheetId="26" r:id="rId12"/>
    <sheet name="代码生成" sheetId="25" r:id="rId13"/>
    <sheet name="使用手册" sheetId="31" r:id="rId14"/>
    <sheet name="Sheet1" sheetId="36" state="hidden" r:id="rId15"/>
  </sheets>
  <functionGroups/>
  <externalReferences>
    <externalReference r:id="rId16"/>
    <externalReference r:id="rId17"/>
  </externalReferences>
  <definedNames>
    <definedName name="_4">[1]Sheet1!$A$4:$C$4</definedName>
    <definedName name="_a1" localSheetId="4">Sheet1!$A$4:$B$4</definedName>
    <definedName name="_a1" localSheetId="1">Sheet1!$B$13:$C$13</definedName>
    <definedName name="_a1">Sheet1!$B$13:$C$13</definedName>
    <definedName name="_a10" localSheetId="4">Sheet1!$A$13:$C$13</definedName>
    <definedName name="_a10">Sheet1!$A$13:$C$13</definedName>
    <definedName name="_a11" localSheetId="4">Sheet1!$A$15:$B$15</definedName>
    <definedName name="_a12" localSheetId="4">Sheet1!$A$16:$B$16</definedName>
    <definedName name="_a13" localSheetId="4">Sheet1!$A$17:$C$17</definedName>
    <definedName name="_a14" localSheetId="4">Sheet1!$A$19:$C$19</definedName>
    <definedName name="_a15" localSheetId="4">Sheet1!$A$20:$D$20</definedName>
    <definedName name="_a16" localSheetId="4">Sheet1!$A$22:$C$22</definedName>
    <definedName name="_a17" localSheetId="4">Sheet1!$A$23:$C$23</definedName>
    <definedName name="_a18" localSheetId="4">Sheet1!$A$24:$D$24</definedName>
    <definedName name="_a19" localSheetId="4">Sheet1!$A$25:$C$25</definedName>
    <definedName name="_a2" localSheetId="4">Sheet1!$A$5:$B$5</definedName>
    <definedName name="_a20" localSheetId="4">Sheet1!$A$27:$B$27</definedName>
    <definedName name="_a21" localSheetId="4">Sheet1!$A$29:$B$29</definedName>
    <definedName name="_a22" localSheetId="4">Sheet1!$A$30:$B$30</definedName>
    <definedName name="_a23" localSheetId="4">Sheet1!$A$31:$B$31</definedName>
    <definedName name="_a24" localSheetId="4">Sheet1!$A$32:$B$32</definedName>
    <definedName name="_a25" localSheetId="4">Sheet1!$A$33:$B$33</definedName>
    <definedName name="_a3" localSheetId="4">Sheet1!$A$6:$B$6</definedName>
    <definedName name="_a4" localSheetId="4">Sheet1!$A$7:$B$7</definedName>
    <definedName name="_a5" localSheetId="4">Sheet1!$A$8:$B$8</definedName>
    <definedName name="_a6" localSheetId="4">Sheet1!$A$9:$B$9</definedName>
    <definedName name="_a7" localSheetId="4">Sheet1!$A$10:$B$10</definedName>
    <definedName name="_a8" localSheetId="4">Sheet1!$A$11:$B$11</definedName>
    <definedName name="_a9" localSheetId="4">Sheet1!$A$12:$B$12</definedName>
    <definedName name="_xlnm._FilterDatabase" localSheetId="4" hidden="1">'IO Pad'!$A$1:$DY$124</definedName>
    <definedName name="boot">'IO Pad'!$U$17:$U$18</definedName>
    <definedName name="Function">'IO Pad'!$U$4:$U$15,'IO Pad'!$U$17:$U$18,'IO Pad'!$U$20:$U$26,'IO Pad'!$U$37:$U$42,'IO Pad'!$U$48:$U$63,'IO Pad'!$U$65:$U$71,'IO Pad'!$U$73:$U$78,'IO Pad'!$U$80:$U$85,'IO Pad'!$U$86:$U$125</definedName>
    <definedName name="mf">'IO Pad'!$U$4:$U$124</definedName>
    <definedName name="_xlnm.Print_Area" localSheetId="4">'IO Pad'!$F$1:$T$61</definedName>
    <definedName name="SigRegion">[2]config!$P$5:$P$664</definedName>
  </definedNames>
  <calcPr calcId="125725"/>
</workbook>
</file>

<file path=xl/calcChain.xml><?xml version="1.0" encoding="utf-8"?>
<calcChain xmlns="http://schemas.openxmlformats.org/spreadsheetml/2006/main">
  <c r="U13" i="18"/>
  <c r="C40"/>
  <c r="C41" s="1"/>
  <c r="B40"/>
  <c r="B39"/>
  <c r="B41" l="1"/>
  <c r="U33" l="1"/>
  <c r="U32"/>
  <c r="U31"/>
  <c r="U30"/>
  <c r="U29"/>
  <c r="E39" l="1"/>
  <c r="D39"/>
  <c r="C39"/>
  <c r="U27"/>
  <c r="U20"/>
  <c r="U19"/>
  <c r="U12"/>
  <c r="U11"/>
  <c r="U10"/>
  <c r="U9"/>
  <c r="U8"/>
  <c r="U7"/>
  <c r="U6"/>
  <c r="U5"/>
  <c r="U4"/>
  <c r="T26" i="23" l="1"/>
  <c r="T59"/>
  <c r="O41" l="1"/>
  <c r="Z41" l="1"/>
  <c r="T41" l="1"/>
</calcChain>
</file>

<file path=xl/sharedStrings.xml><?xml version="1.0" encoding="utf-8"?>
<sst xmlns="http://schemas.openxmlformats.org/spreadsheetml/2006/main" count="2061" uniqueCount="1007">
  <si>
    <t>Off-chip Clock Frequency(MHz)</t>
    <phoneticPr fontId="3" type="noConversion"/>
  </si>
  <si>
    <t>Electrical Performace</t>
    <phoneticPr fontId="3" type="noConversion"/>
  </si>
  <si>
    <t>Pin pitch</t>
    <phoneticPr fontId="3" type="noConversion"/>
  </si>
  <si>
    <t>Package Type</t>
    <phoneticPr fontId="3" type="noConversion"/>
  </si>
  <si>
    <t xml:space="preserve">Body Size(mm) (Length*width*Thickness) </t>
    <phoneticPr fontId="3" type="noConversion"/>
  </si>
  <si>
    <t>MIN</t>
    <phoneticPr fontId="3" type="noConversion"/>
  </si>
  <si>
    <t>TYP</t>
    <phoneticPr fontId="3" type="noConversion"/>
  </si>
  <si>
    <t>MAX</t>
    <phoneticPr fontId="3" type="noConversion"/>
  </si>
  <si>
    <t>Thermal performance</t>
    <phoneticPr fontId="3" type="noConversion"/>
  </si>
  <si>
    <t>Storage temperatrure（℃）</t>
    <phoneticPr fontId="3" type="noConversion"/>
  </si>
  <si>
    <t>Air Flow</t>
    <phoneticPr fontId="3" type="noConversion"/>
  </si>
  <si>
    <t>Die Size(mm*mm)</t>
    <phoneticPr fontId="3" type="noConversion"/>
  </si>
  <si>
    <t>NA</t>
  </si>
  <si>
    <t xml:space="preserve">Number of PCB layers </t>
    <phoneticPr fontId="3" type="noConversion"/>
  </si>
  <si>
    <t>IP type</t>
    <phoneticPr fontId="3" type="noConversion"/>
  </si>
  <si>
    <t>IP name</t>
    <phoneticPr fontId="3" type="noConversion"/>
  </si>
  <si>
    <t>Frequrency</t>
    <phoneticPr fontId="3" type="noConversion"/>
  </si>
  <si>
    <t>vender</t>
    <phoneticPr fontId="3" type="noConversion"/>
  </si>
  <si>
    <t>Version</t>
    <phoneticPr fontId="3" type="noConversion"/>
  </si>
  <si>
    <t>Comment</t>
    <phoneticPr fontId="3" type="noConversion"/>
  </si>
  <si>
    <t>PCB Application Requirement:</t>
    <phoneticPr fontId="3" type="noConversion"/>
  </si>
  <si>
    <t>typ</t>
    <phoneticPr fontId="3" type="noConversion"/>
  </si>
  <si>
    <t>max</t>
    <phoneticPr fontId="3" type="noConversion"/>
  </si>
  <si>
    <t>min</t>
    <phoneticPr fontId="3" type="noConversion"/>
  </si>
  <si>
    <t xml:space="preserve"> package information:</t>
    <phoneticPr fontId="3" type="noConversion"/>
  </si>
  <si>
    <t xml:space="preserve"> Wafer process</t>
    <phoneticPr fontId="3" type="noConversion"/>
  </si>
  <si>
    <t>修改日期</t>
    <phoneticPr fontId="3" type="noConversion"/>
  </si>
  <si>
    <t>修改内容</t>
    <phoneticPr fontId="3" type="noConversion"/>
  </si>
  <si>
    <t>作者</t>
    <phoneticPr fontId="3" type="noConversion"/>
  </si>
  <si>
    <t>RoHS</t>
  </si>
  <si>
    <t xml:space="preserve">Environment requirement </t>
    <phoneticPr fontId="3" type="noConversion"/>
  </si>
  <si>
    <t xml:space="preserve"> Wafer manufacture vendor</t>
    <phoneticPr fontId="3" type="noConversion"/>
  </si>
  <si>
    <t xml:space="preserve"> Wafer Fab location</t>
    <phoneticPr fontId="3" type="noConversion"/>
  </si>
  <si>
    <t>3.other requirement:</t>
    <phoneticPr fontId="3" type="noConversion"/>
  </si>
  <si>
    <t>other Requirement：      （MCP,SIP,or multi-pkg for the same die,some signal bonding to P/G pin...)</t>
    <phoneticPr fontId="3" type="noConversion"/>
  </si>
  <si>
    <t>* Manufacture model</t>
    <phoneticPr fontId="3" type="noConversion"/>
  </si>
  <si>
    <t>4.Manufacture model</t>
    <phoneticPr fontId="3" type="noConversion"/>
  </si>
  <si>
    <t>Ambient temperatrure（℃）</t>
    <phoneticPr fontId="3" type="noConversion"/>
  </si>
  <si>
    <t>Junction temperatrure（℃）</t>
    <phoneticPr fontId="3" type="noConversion"/>
  </si>
  <si>
    <t>Moisture Sensitivity Level</t>
    <phoneticPr fontId="3" type="noConversion"/>
  </si>
  <si>
    <t>合封芯片</t>
    <phoneticPr fontId="3" type="noConversion"/>
  </si>
  <si>
    <t>Power Dissipation(W)</t>
    <phoneticPr fontId="3" type="noConversion"/>
  </si>
  <si>
    <t>1. LTE Package:</t>
    <phoneticPr fontId="3" type="noConversion"/>
  </si>
  <si>
    <t>TaiWan</t>
    <phoneticPr fontId="3" type="noConversion"/>
  </si>
  <si>
    <t>LTE Die information</t>
    <phoneticPr fontId="3" type="noConversion"/>
  </si>
  <si>
    <t>LTE package performance</t>
    <phoneticPr fontId="3" type="noConversion"/>
  </si>
  <si>
    <t>pull-up/down control</t>
  </si>
  <si>
    <t>TOP</t>
  </si>
  <si>
    <t>MUX_D</t>
  </si>
  <si>
    <t>MUX_NA</t>
  </si>
  <si>
    <t>OZ</t>
  </si>
  <si>
    <t>B</t>
  </si>
  <si>
    <t>DO</t>
  </si>
  <si>
    <t>DI</t>
  </si>
  <si>
    <t>SI</t>
  </si>
  <si>
    <t>BOD</t>
  </si>
  <si>
    <t>Y</t>
  </si>
  <si>
    <t>IOM_CTRL7</t>
  </si>
  <si>
    <t>IOM_CTRL13</t>
  </si>
  <si>
    <t>OZ</t>
    <phoneticPr fontId="3" type="noConversion"/>
  </si>
  <si>
    <t>Pad Name</t>
    <phoneticPr fontId="39" type="noConversion"/>
  </si>
  <si>
    <t xml:space="preserve">DFT </t>
    <phoneticPr fontId="39" type="noConversion"/>
  </si>
  <si>
    <t>comment</t>
    <phoneticPr fontId="39" type="noConversion"/>
  </si>
  <si>
    <t>Replace0 Name</t>
    <phoneticPr fontId="39" type="noConversion"/>
  </si>
  <si>
    <t>Replace1 Name</t>
    <phoneticPr fontId="39" type="noConversion"/>
  </si>
  <si>
    <t>Replace1 CTRL</t>
    <phoneticPr fontId="39" type="noConversion"/>
  </si>
  <si>
    <t>Fuction0 Name</t>
    <phoneticPr fontId="39" type="noConversion"/>
  </si>
  <si>
    <r>
      <t>F</t>
    </r>
    <r>
      <rPr>
        <sz val="12"/>
        <rFont val="宋体"/>
        <family val="3"/>
        <charset val="134"/>
      </rPr>
      <t>uction1 Name</t>
    </r>
    <phoneticPr fontId="39" type="noConversion"/>
  </si>
  <si>
    <r>
      <t>u</t>
    </r>
    <r>
      <rPr>
        <sz val="12"/>
        <rFont val="宋体"/>
        <family val="3"/>
        <charset val="134"/>
      </rPr>
      <t>icc_sw2_en</t>
    </r>
    <phoneticPr fontId="39" type="noConversion"/>
  </si>
  <si>
    <t>Fuction2 Name</t>
    <phoneticPr fontId="39" type="noConversion"/>
  </si>
  <si>
    <t>增加DFT信号，需要按照次行进行复制粘贴</t>
    <phoneticPr fontId="39" type="noConversion"/>
  </si>
  <si>
    <t>PAD Name</t>
    <phoneticPr fontId="39" type="noConversion"/>
  </si>
  <si>
    <t xml:space="preserve">IOM </t>
    <phoneticPr fontId="39" type="noConversion"/>
  </si>
  <si>
    <t>UICC_DP</t>
    <phoneticPr fontId="39" type="noConversion"/>
  </si>
  <si>
    <t>UICC_DM</t>
    <phoneticPr fontId="39" type="noConversion"/>
  </si>
  <si>
    <t>uicc_sw1_en</t>
    <phoneticPr fontId="39" type="noConversion"/>
  </si>
  <si>
    <t>PD</t>
  </si>
  <si>
    <t>PD</t>
    <phoneticPr fontId="39" type="noConversion"/>
  </si>
  <si>
    <t>PU</t>
  </si>
  <si>
    <r>
      <t>P</t>
    </r>
    <r>
      <rPr>
        <sz val="12"/>
        <rFont val="宋体"/>
        <family val="3"/>
        <charset val="134"/>
      </rPr>
      <t>D</t>
    </r>
    <phoneticPr fontId="39" type="noConversion"/>
  </si>
  <si>
    <t>需要替换管脚IOM的控制信息，改信息的起始位置要与DFT的最后一个信号保持8行的间距</t>
    <phoneticPr fontId="39" type="noConversion"/>
  </si>
  <si>
    <t>APB</t>
    <phoneticPr fontId="36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</si>
  <si>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</si>
  <si>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</si>
  <si>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r>
      <t>S</t>
    </r>
    <r>
      <rPr>
        <sz val="12"/>
        <rFont val="宋体"/>
        <family val="3"/>
        <charset val="134"/>
      </rPr>
      <t>US</t>
    </r>
    <phoneticPr fontId="3" type="noConversion"/>
  </si>
  <si>
    <r>
      <t>C</t>
    </r>
    <r>
      <rPr>
        <sz val="12"/>
        <rFont val="宋体"/>
        <family val="3"/>
        <charset val="134"/>
      </rPr>
      <t>TL</t>
    </r>
    <phoneticPr fontId="3" type="noConversion"/>
  </si>
  <si>
    <r>
      <t>S</t>
    </r>
    <r>
      <rPr>
        <sz val="12"/>
        <rFont val="宋体"/>
        <family val="3"/>
        <charset val="134"/>
      </rPr>
      <t>L</t>
    </r>
    <phoneticPr fontId="3" type="noConversion"/>
  </si>
  <si>
    <t>地址位宽</t>
    <phoneticPr fontId="3" type="noConversion"/>
  </si>
  <si>
    <t>数据位宽</t>
    <phoneticPr fontId="3" type="noConversion"/>
  </si>
  <si>
    <t>OE</t>
    <phoneticPr fontId="3" type="noConversion"/>
  </si>
  <si>
    <t>IOS_AF_CTRL基地址</t>
    <phoneticPr fontId="3" type="noConversion"/>
  </si>
  <si>
    <t>配置信息</t>
    <phoneticPr fontId="36" type="noConversion"/>
  </si>
  <si>
    <t>PD</t>
    <phoneticPr fontId="3" type="noConversion"/>
  </si>
  <si>
    <t>PU</t>
    <phoneticPr fontId="3" type="noConversion"/>
  </si>
  <si>
    <t>SV interface</t>
    <phoneticPr fontId="3" type="noConversion"/>
  </si>
  <si>
    <t>含义</t>
    <phoneticPr fontId="3" type="noConversion"/>
  </si>
  <si>
    <t>MMC0（6个pin,wifi接口）</t>
    <phoneticPr fontId="3" type="noConversion"/>
  </si>
  <si>
    <t>MMC1（6个pin，SD卡或emmc接口）</t>
  </si>
  <si>
    <t>AI</t>
  </si>
  <si>
    <t>AIO</t>
  </si>
  <si>
    <t>AO</t>
  </si>
  <si>
    <t>LVCMOS</t>
  </si>
  <si>
    <t>4mA</t>
  </si>
  <si>
    <t>OD</t>
  </si>
  <si>
    <t>0mA</t>
  </si>
  <si>
    <r>
      <t>G</t>
    </r>
    <r>
      <rPr>
        <sz val="12"/>
        <rFont val="宋体"/>
        <family val="3"/>
        <charset val="134"/>
      </rPr>
      <t>PIO需求</t>
    </r>
    <phoneticPr fontId="3" type="noConversion"/>
  </si>
  <si>
    <t>NF_WP_N</t>
    <phoneticPr fontId="3" type="noConversion"/>
  </si>
  <si>
    <t>NandFlash</t>
    <phoneticPr fontId="3" type="noConversion"/>
  </si>
  <si>
    <t>BCM***_RST_N</t>
    <phoneticPr fontId="3" type="noConversion"/>
  </si>
  <si>
    <t>BCM***_WAKEUP_BB</t>
    <phoneticPr fontId="3" type="noConversion"/>
  </si>
  <si>
    <t>BB_WAKEU_BCM***</t>
    <phoneticPr fontId="3" type="noConversion"/>
  </si>
  <si>
    <t>43239:43362</t>
    <phoneticPr fontId="3" type="noConversion"/>
  </si>
  <si>
    <t>43239:43362:43236</t>
    <phoneticPr fontId="3" type="noConversion"/>
  </si>
  <si>
    <t>SPI/FLASH</t>
    <phoneticPr fontId="3" type="noConversion"/>
  </si>
  <si>
    <t>EMMC_RST_N</t>
    <phoneticPr fontId="3" type="noConversion"/>
  </si>
  <si>
    <t>EMMC</t>
    <phoneticPr fontId="3" type="noConversion"/>
  </si>
  <si>
    <t>SD_CARD_IN_N</t>
    <phoneticPr fontId="3" type="noConversion"/>
  </si>
  <si>
    <t>SD卡</t>
    <phoneticPr fontId="3" type="noConversion"/>
  </si>
  <si>
    <t>LCD</t>
    <phoneticPr fontId="3" type="noConversion"/>
  </si>
  <si>
    <t>LCD1_ID0</t>
    <phoneticPr fontId="3" type="noConversion"/>
  </si>
  <si>
    <t>LCD1_ID1</t>
  </si>
  <si>
    <t>OLED_12V_EN</t>
    <phoneticPr fontId="3" type="noConversion"/>
  </si>
  <si>
    <t>OLED_12V_IN_EN</t>
    <phoneticPr fontId="3" type="noConversion"/>
  </si>
  <si>
    <t>OLED_I8080/8bit:OLED_3bit:LCD_TFT_I8080/8bit/9bit-SPI/3-wire</t>
    <phoneticPr fontId="3" type="noConversion"/>
  </si>
  <si>
    <t>OLED_3bit:LCD_TFT_I8080/8bit/9bit-SPI/3-wire</t>
    <phoneticPr fontId="3" type="noConversion"/>
  </si>
  <si>
    <t>OLED_I8080/8bit:OLED_3bit</t>
    <phoneticPr fontId="3" type="noConversion"/>
  </si>
  <si>
    <t>GMAC</t>
    <phoneticPr fontId="3" type="noConversion"/>
  </si>
  <si>
    <t>GMII_RST_N</t>
    <phoneticPr fontId="3" type="noConversion"/>
  </si>
  <si>
    <t>GMII_INT_N</t>
    <phoneticPr fontId="3" type="noConversion"/>
  </si>
  <si>
    <t>Charger</t>
    <phoneticPr fontId="3" type="noConversion"/>
  </si>
  <si>
    <t>CURRENT_FAULT</t>
    <phoneticPr fontId="3" type="noConversion"/>
  </si>
  <si>
    <t>BQ24161_CD</t>
    <phoneticPr fontId="3" type="noConversion"/>
  </si>
  <si>
    <t>Charger_INT</t>
    <phoneticPr fontId="3" type="noConversion"/>
  </si>
  <si>
    <t>GPS</t>
    <phoneticPr fontId="3" type="noConversion"/>
  </si>
  <si>
    <t>GPS_PWR_ON</t>
    <phoneticPr fontId="3" type="noConversion"/>
  </si>
  <si>
    <t>GPS_ON_OFF</t>
    <phoneticPr fontId="3" type="noConversion"/>
  </si>
  <si>
    <t>GPS_RST_N</t>
    <phoneticPr fontId="3" type="noConversion"/>
  </si>
  <si>
    <t>USIM0,USIM1</t>
    <phoneticPr fontId="3" type="noConversion"/>
  </si>
  <si>
    <t>USIM0_DETECT</t>
    <phoneticPr fontId="3" type="noConversion"/>
  </si>
  <si>
    <t>USIM1_DETECT</t>
    <phoneticPr fontId="3" type="noConversion"/>
  </si>
  <si>
    <t>说明：GPIO是按照V7R1 Pilot的使用情况来分配的。上面共20个GPIO，可使用独立GPIO和与中断信号复用的GPIO</t>
    <phoneticPr fontId="3" type="noConversion"/>
  </si>
  <si>
    <t>IO Foundry</t>
    <phoneticPr fontId="3" type="noConversion"/>
  </si>
  <si>
    <t>IO Foundry</t>
    <phoneticPr fontId="3" type="noConversion"/>
  </si>
  <si>
    <t>12'h70</t>
    <phoneticPr fontId="3" type="noConversion"/>
  </si>
  <si>
    <t>12'h100</t>
    <phoneticPr fontId="3" type="noConversion"/>
  </si>
  <si>
    <t>初始值</t>
  </si>
  <si>
    <t>初始状态</t>
    <phoneticPr fontId="3" type="noConversion"/>
  </si>
  <si>
    <t>Dolphin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</si>
  <si>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</si>
  <si>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r>
      <t>T</t>
    </r>
    <r>
      <rPr>
        <sz val="12"/>
        <rFont val="宋体"/>
        <family val="3"/>
        <charset val="134"/>
      </rPr>
      <t>SMC</t>
    </r>
    <phoneticPr fontId="3" type="noConversion"/>
  </si>
  <si>
    <t>PD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</si>
  <si>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</si>
  <si>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HISI4D</t>
    <phoneticPr fontId="3" type="noConversion"/>
  </si>
  <si>
    <t>gmii_rx_clk</t>
    <phoneticPr fontId="39" type="noConversion"/>
  </si>
  <si>
    <t>GMII_RX_CLK</t>
    <phoneticPr fontId="39" type="noConversion"/>
  </si>
  <si>
    <t>GMII_TX_CLK</t>
    <phoneticPr fontId="39" type="noConversion"/>
  </si>
  <si>
    <t>GMII_CLK_125</t>
    <phoneticPr fontId="39" type="noConversion"/>
  </si>
  <si>
    <t>gmii_clk_125</t>
    <phoneticPr fontId="39" type="noConversion"/>
  </si>
  <si>
    <t>uicc_ctrl1_1</t>
    <phoneticPr fontId="39" type="noConversion"/>
  </si>
  <si>
    <t>Replace0 CTRL</t>
    <phoneticPr fontId="39" type="noConversion"/>
  </si>
  <si>
    <t>gmii_tx_clk</t>
    <phoneticPr fontId="39" type="noConversion"/>
  </si>
  <si>
    <t>P1-0</t>
    <phoneticPr fontId="3" type="noConversion"/>
  </si>
  <si>
    <r>
      <t>1</t>
    </r>
    <r>
      <rPr>
        <sz val="12"/>
        <rFont val="宋体"/>
        <family val="3"/>
        <charset val="134"/>
      </rPr>
      <t>.2V</t>
    </r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</si>
  <si>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</si>
  <si>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P</t>
    <phoneticPr fontId="3" type="noConversion"/>
  </si>
  <si>
    <t>V</t>
    <phoneticPr fontId="3" type="noConversion"/>
  </si>
  <si>
    <t>NUM</t>
    <phoneticPr fontId="3" type="noConversion"/>
  </si>
  <si>
    <t>function3</t>
    <phoneticPr fontId="3" type="noConversion"/>
  </si>
  <si>
    <t>function2</t>
    <phoneticPr fontId="3" type="noConversion"/>
  </si>
  <si>
    <t>function1</t>
    <phoneticPr fontId="3" type="noConversion"/>
  </si>
  <si>
    <t>function0</t>
    <phoneticPr fontId="3" type="noConversion"/>
  </si>
  <si>
    <t>LEFT</t>
    <phoneticPr fontId="3" type="noConversion"/>
  </si>
  <si>
    <t>RIGHT</t>
    <phoneticPr fontId="3" type="noConversion"/>
  </si>
  <si>
    <t>1.8V</t>
    <phoneticPr fontId="3" type="noConversion"/>
  </si>
  <si>
    <t>GPIO(6)</t>
    <phoneticPr fontId="3" type="noConversion"/>
  </si>
  <si>
    <t>GPIO(5)</t>
    <phoneticPr fontId="3" type="noConversion"/>
  </si>
  <si>
    <t>BOTTOM</t>
    <phoneticPr fontId="3" type="noConversion"/>
  </si>
  <si>
    <t>1.2V</t>
    <phoneticPr fontId="3" type="noConversion"/>
  </si>
  <si>
    <t>sdio_clk</t>
    <phoneticPr fontId="39" type="noConversion"/>
  </si>
  <si>
    <t>LPDDR2</t>
    <phoneticPr fontId="3" type="noConversion"/>
  </si>
  <si>
    <t>P1-0</t>
    <phoneticPr fontId="3" type="noConversion"/>
  </si>
  <si>
    <t>IX</t>
  </si>
  <si>
    <t>IX</t>
    <phoneticPr fontId="3" type="noConversion"/>
  </si>
  <si>
    <t>OZ</t>
    <phoneticPr fontId="3" type="noConversion"/>
  </si>
  <si>
    <t>OH</t>
  </si>
  <si>
    <t>OH</t>
    <phoneticPr fontId="3" type="noConversion"/>
  </si>
  <si>
    <t>OL</t>
  </si>
  <si>
    <t>OL</t>
    <phoneticPr fontId="3" type="noConversion"/>
  </si>
  <si>
    <t>5'h8</t>
    <phoneticPr fontId="3" type="noConversion"/>
  </si>
  <si>
    <t>5'h4</t>
    <phoneticPr fontId="3" type="noConversion"/>
  </si>
  <si>
    <t>5'h0</t>
    <phoneticPr fontId="3" type="noConversion"/>
  </si>
  <si>
    <t>5'h10</t>
    <phoneticPr fontId="3" type="noConversion"/>
  </si>
  <si>
    <t>2'h1</t>
    <phoneticPr fontId="3" type="noConversion"/>
  </si>
  <si>
    <t>2'h0</t>
    <phoneticPr fontId="3" type="noConversion"/>
  </si>
  <si>
    <t>2'h2</t>
    <phoneticPr fontId="3" type="noConversion"/>
  </si>
  <si>
    <t>12'h40C</t>
    <phoneticPr fontId="3" type="noConversion"/>
  </si>
  <si>
    <t>12'h20C</t>
    <phoneticPr fontId="3" type="noConversion"/>
  </si>
  <si>
    <t>12'h00C</t>
    <phoneticPr fontId="3" type="noConversion"/>
  </si>
  <si>
    <t>12'h80C</t>
    <phoneticPr fontId="3" type="noConversion"/>
  </si>
  <si>
    <r>
      <t>n</t>
    </r>
    <r>
      <rPr>
        <sz val="12"/>
        <rFont val="宋体"/>
        <family val="3"/>
        <charset val="134"/>
      </rPr>
      <t>ote</t>
    </r>
    <phoneticPr fontId="40" type="noConversion"/>
  </si>
  <si>
    <r>
      <t>I</t>
    </r>
    <r>
      <rPr>
        <sz val="12"/>
        <rFont val="宋体"/>
        <family val="3"/>
        <charset val="134"/>
      </rPr>
      <t>O Pad</t>
    </r>
    <phoneticPr fontId="40" type="noConversion"/>
  </si>
  <si>
    <t>硬件使用说明</t>
    <phoneticPr fontId="40" type="noConversion"/>
  </si>
  <si>
    <t>表单名称</t>
    <phoneticPr fontId="40" type="noConversion"/>
  </si>
  <si>
    <t>功能介绍</t>
    <phoneticPr fontId="40" type="noConversion"/>
  </si>
  <si>
    <t>接口位置图</t>
    <phoneticPr fontId="40" type="noConversion"/>
  </si>
  <si>
    <t>特殊信号处理</t>
    <phoneticPr fontId="40" type="noConversion"/>
  </si>
  <si>
    <t>代码生成</t>
    <phoneticPr fontId="40" type="noConversion"/>
  </si>
  <si>
    <t>使用手册</t>
    <phoneticPr fontId="40" type="noConversion"/>
  </si>
  <si>
    <t>更改记录简要说明</t>
    <phoneticPr fontId="40" type="noConversion"/>
  </si>
  <si>
    <t>后端关注度</t>
    <phoneticPr fontId="40" type="noConversion"/>
  </si>
  <si>
    <t>验证/底软关注度</t>
    <phoneticPr fontId="40" type="noConversion"/>
  </si>
  <si>
    <t>表单信息来源</t>
    <phoneticPr fontId="40" type="noConversion"/>
  </si>
  <si>
    <t>硬件关注度</t>
    <phoneticPr fontId="40" type="noConversion"/>
  </si>
  <si>
    <t>IP list</t>
    <phoneticPr fontId="40" type="noConversion"/>
  </si>
  <si>
    <t>设计者</t>
    <phoneticPr fontId="40" type="noConversion"/>
  </si>
  <si>
    <t>芯片部门</t>
    <phoneticPr fontId="40" type="noConversion"/>
  </si>
  <si>
    <t>本文档可以用作以下用途：
1：IO复用设计人员产生IO复用设计代码，一般由设计人员对此表单进行维护；
2：为底软和验证人员提供切换IO功能的软件配置指导（相关寄存器配置）；
3：为硬件同事，提供软硬件接口文档；
4：为后端（Die和封装）同事提供详细的芯片IO信息（数目、复用功能、频率和位置等）</t>
    <phoneticPr fontId="40" type="noConversion"/>
  </si>
  <si>
    <t>摆放芯片Die中管脚位置</t>
    <phoneticPr fontId="40" type="noConversion"/>
  </si>
  <si>
    <t>填写IO复用设计信息及整理后端同事需要的IO信息</t>
    <phoneticPr fontId="40" type="noConversion"/>
  </si>
  <si>
    <t>记录芯片中重要IP的信息</t>
    <phoneticPr fontId="40" type="noConversion"/>
  </si>
  <si>
    <t>记录硬件单板设计需要的信息（例:可用GPIO数目）</t>
    <phoneticPr fontId="40" type="noConversion"/>
  </si>
  <si>
    <t>用于填写IO复用关系整理需要特殊处理的信息</t>
    <phoneticPr fontId="40" type="noConversion"/>
  </si>
  <si>
    <t>生成IO复用代码文件，及更新提取SI&amp;PKG_REG和SoftWare_REQ表单</t>
    <phoneticPr fontId="40" type="noConversion"/>
  </si>
  <si>
    <t>注：灰色部分的表单内容，可以到芯片稳定后期进行填写，设计阶段不涉及；</t>
    <phoneticPr fontId="40" type="noConversion"/>
  </si>
  <si>
    <t>一、使用须知</t>
    <phoneticPr fontId="40" type="noConversion"/>
  </si>
  <si>
    <t>二、表单介绍</t>
    <phoneticPr fontId="40" type="noConversion"/>
  </si>
  <si>
    <t>三、代码特点</t>
    <phoneticPr fontId="40" type="noConversion"/>
  </si>
  <si>
    <t>四、代码产生</t>
    <phoneticPr fontId="40" type="noConversion"/>
  </si>
  <si>
    <t xml:space="preserve">5：代码接口信号简单；
</t>
    <phoneticPr fontId="40" type="noConversion"/>
  </si>
  <si>
    <t>五、接口介绍</t>
    <phoneticPr fontId="40" type="noConversion"/>
  </si>
  <si>
    <t>Signal</t>
  </si>
  <si>
    <t>Num of Bits</t>
  </si>
  <si>
    <t>I/O</t>
  </si>
  <si>
    <t>Descriptions</t>
  </si>
  <si>
    <t>System interface</t>
  </si>
  <si>
    <t>pclk</t>
  </si>
  <si>
    <t>I</t>
  </si>
  <si>
    <t>presetn</t>
  </si>
  <si>
    <r>
      <t xml:space="preserve">APB </t>
    </r>
    <r>
      <rPr>
        <sz val="10.5"/>
        <rFont val="宋体"/>
        <family val="3"/>
        <charset val="134"/>
      </rPr>
      <t>异步复位信号</t>
    </r>
  </si>
  <si>
    <t>psel</t>
  </si>
  <si>
    <r>
      <t xml:space="preserve">APB </t>
    </r>
    <r>
      <rPr>
        <sz val="10.5"/>
        <rFont val="宋体"/>
        <family val="3"/>
        <charset val="134"/>
      </rPr>
      <t>片选信号</t>
    </r>
  </si>
  <si>
    <t>pwrite</t>
  </si>
  <si>
    <r>
      <t xml:space="preserve">APB </t>
    </r>
    <r>
      <rPr>
        <sz val="10.5"/>
        <rFont val="宋体"/>
        <family val="3"/>
        <charset val="134"/>
      </rPr>
      <t>读写操作指示信号</t>
    </r>
  </si>
  <si>
    <t>paddr</t>
  </si>
  <si>
    <r>
      <t xml:space="preserve">APB </t>
    </r>
    <r>
      <rPr>
        <sz val="10.5"/>
        <rFont val="宋体"/>
        <family val="3"/>
        <charset val="134"/>
      </rPr>
      <t>地址信号</t>
    </r>
  </si>
  <si>
    <t>pwdata</t>
  </si>
  <si>
    <t>`IOS_DATA_WIDTH</t>
  </si>
  <si>
    <r>
      <t xml:space="preserve">APB </t>
    </r>
    <r>
      <rPr>
        <sz val="10.5"/>
        <rFont val="宋体"/>
        <family val="3"/>
        <charset val="134"/>
      </rPr>
      <t>写数据信号</t>
    </r>
  </si>
  <si>
    <t>prdata</t>
  </si>
  <si>
    <t>O</t>
  </si>
  <si>
    <r>
      <t xml:space="preserve">APB </t>
    </r>
    <r>
      <rPr>
        <sz val="10.5"/>
        <rFont val="宋体"/>
        <family val="3"/>
        <charset val="134"/>
      </rPr>
      <t>读数据信号</t>
    </r>
  </si>
  <si>
    <t>tst_gatedclock</t>
  </si>
  <si>
    <t>低功耗接口信号</t>
  </si>
  <si>
    <t>auto_gatedclock_en</t>
  </si>
  <si>
    <t>dft_mode</t>
  </si>
  <si>
    <r>
      <t>DFT</t>
    </r>
    <r>
      <rPr>
        <sz val="10.5"/>
        <rFont val="宋体"/>
        <family val="3"/>
        <charset val="134"/>
      </rPr>
      <t>模式选择信号</t>
    </r>
  </si>
  <si>
    <t>PAD interface</t>
  </si>
  <si>
    <r>
      <t>PAD</t>
    </r>
    <r>
      <rPr>
        <sz val="10.5"/>
        <rFont val="宋体"/>
        <family val="3"/>
        <charset val="134"/>
      </rPr>
      <t>输入端口</t>
    </r>
  </si>
  <si>
    <t>pad_fuc_out</t>
  </si>
  <si>
    <r>
      <t xml:space="preserve">PAD </t>
    </r>
    <r>
      <rPr>
        <sz val="10.5"/>
        <rFont val="宋体"/>
        <family val="3"/>
        <charset val="134"/>
      </rPr>
      <t>输出端口</t>
    </r>
  </si>
  <si>
    <t>Pad_fuc_oe</t>
  </si>
  <si>
    <r>
      <t xml:space="preserve">PAD </t>
    </r>
    <r>
      <rPr>
        <sz val="10.5"/>
        <rFont val="宋体"/>
        <family val="3"/>
        <charset val="134"/>
      </rPr>
      <t>输出端口使能</t>
    </r>
  </si>
  <si>
    <t>pad_fuc_cfg</t>
  </si>
  <si>
    <t>`IOS_IOM_WIDTH-1</t>
  </si>
  <si>
    <r>
      <t xml:space="preserve">PAD </t>
    </r>
    <r>
      <rPr>
        <sz val="10.5"/>
        <rFont val="宋体"/>
        <family val="3"/>
        <charset val="134"/>
      </rPr>
      <t>端口配置信号</t>
    </r>
  </si>
  <si>
    <t>Soc interface</t>
  </si>
  <si>
    <t>fuc_out</t>
  </si>
  <si>
    <t>fuc_oe</t>
  </si>
  <si>
    <t>fuc_in</t>
  </si>
  <si>
    <t>interface</t>
    <phoneticPr fontId="40" type="noConversion"/>
  </si>
  <si>
    <t>接口类型</t>
    <phoneticPr fontId="36" type="noConversion"/>
  </si>
  <si>
    <t>代码产生分为两个阶段；
Step1：填写表单，产生代码蓝本；此步骤需要填写的表单有《IO Pad》、《特殊信号处理》和《代码生成》三个表单，填写完毕后，点击《代码生成》表单中的生成代码按钮，将会在指定目录下，产生一个auto_ioshare.txt代码蓝本文档；
Step2：上传蓝本文件至工作站，使用 perl 脚本 auto_ioshare 运行 auto_ioshare auto_ioshare.txt 便可在当前目录下的src/文件夹中产生最终的代码。代码共三个文件 :ioshare_def.v 、ioshare.v和ioshare_undef.v</t>
    <phoneticPr fontId="40" type="noConversion"/>
  </si>
  <si>
    <t>IOS_APB_SLV</t>
    <phoneticPr fontId="40" type="noConversion"/>
  </si>
  <si>
    <r>
      <t>APB intercface</t>
    </r>
    <r>
      <rPr>
        <sz val="10.5"/>
        <color rgb="FFFF0000"/>
        <rFont val="宋体"/>
        <family val="3"/>
        <charset val="134"/>
      </rPr>
      <t>，只有当《代码生成》表单中</t>
    </r>
    <r>
      <rPr>
        <sz val="10.5"/>
        <color rgb="FFFF0000"/>
        <rFont val="Arial"/>
        <family val="2"/>
      </rPr>
      <t xml:space="preserve"> </t>
    </r>
    <r>
      <rPr>
        <sz val="10.5"/>
        <color rgb="FFFF0000"/>
        <rFont val="宋体"/>
        <family val="3"/>
        <charset val="134"/>
      </rPr>
      <t>接口类型选择</t>
    </r>
    <r>
      <rPr>
        <sz val="10.5"/>
        <color rgb="FFFF0000"/>
        <rFont val="Arial"/>
        <family val="2"/>
      </rPr>
      <t>SV interface</t>
    </r>
    <r>
      <rPr>
        <sz val="10.5"/>
        <color rgb="FFFF0000"/>
        <rFont val="宋体"/>
        <family val="3"/>
        <charset val="134"/>
      </rPr>
      <t>时有效，且与上面的</t>
    </r>
    <r>
      <rPr>
        <sz val="10.5"/>
        <color rgb="FFFF0000"/>
        <rFont val="Arial"/>
        <family val="2"/>
      </rPr>
      <t>APB</t>
    </r>
    <r>
      <rPr>
        <sz val="10.5"/>
        <color rgb="FFFF0000"/>
        <rFont val="宋体"/>
        <family val="3"/>
        <charset val="134"/>
      </rPr>
      <t>总线接口信号不能共存</t>
    </r>
    <phoneticPr fontId="40" type="noConversion"/>
  </si>
  <si>
    <t>六、地址划分</t>
    <phoneticPr fontId="40" type="noConversion"/>
  </si>
  <si>
    <r>
      <t xml:space="preserve">APB </t>
    </r>
    <r>
      <rPr>
        <sz val="10.5"/>
        <rFont val="宋体"/>
        <family val="3"/>
        <charset val="134"/>
      </rPr>
      <t>时钟</t>
    </r>
    <phoneticPr fontId="40" type="noConversion"/>
  </si>
  <si>
    <t>IOS_AF_CTRL基地址</t>
    <phoneticPr fontId="3" type="noConversion"/>
  </si>
  <si>
    <t>2：标准 APB2.0 接口，32bit对齐，可选择interface类型；</t>
    <phoneticPr fontId="40" type="noConversion"/>
  </si>
  <si>
    <t>IOS寄存器空间划分为三段</t>
    <phoneticPr fontId="40" type="noConversion"/>
  </si>
  <si>
    <r>
      <t>I</t>
    </r>
    <r>
      <rPr>
        <sz val="12"/>
        <rFont val="宋体"/>
        <family val="3"/>
        <charset val="134"/>
      </rPr>
      <t>OS_MF_CTRL寄存器</t>
    </r>
    <phoneticPr fontId="40" type="noConversion"/>
  </si>
  <si>
    <t>IOS_AF_CTRL寄存器</t>
    <phoneticPr fontId="40" type="noConversion"/>
  </si>
  <si>
    <t>IOS基地址</t>
    <phoneticPr fontId="40" type="noConversion"/>
  </si>
  <si>
    <t>IOS_AF_CTRL基地址</t>
    <phoneticPr fontId="40" type="noConversion"/>
  </si>
  <si>
    <t>IOS_AF_CTRL基地址-4'h4</t>
    <phoneticPr fontId="40" type="noConversion"/>
  </si>
  <si>
    <t>末地址</t>
    <phoneticPr fontId="40" type="noConversion"/>
  </si>
  <si>
    <t>起地址</t>
    <phoneticPr fontId="40" type="noConversion"/>
  </si>
  <si>
    <t>`IOS_ADDR_WIDTH</t>
    <phoneticPr fontId="40" type="noConversion"/>
  </si>
  <si>
    <t>IOS_IOM_CTRL基地址</t>
    <phoneticPr fontId="3" type="noConversion"/>
  </si>
  <si>
    <t>IOS_IOM_CTRL寄存器</t>
    <phoneticPr fontId="40" type="noConversion"/>
  </si>
  <si>
    <t>注：地址位宽及地址划分的基地址，可在《代码生成》表单中配置信息处进行填写。</t>
    <phoneticPr fontId="40" type="noConversion"/>
  </si>
  <si>
    <t>IOS基地址</t>
    <phoneticPr fontId="3" type="noConversion"/>
  </si>
  <si>
    <t>七、《IO Pad》
     表单介绍</t>
    <phoneticPr fontId="40" type="noConversion"/>
  </si>
  <si>
    <t>Voltage</t>
  </si>
  <si>
    <t>PKG</t>
  </si>
  <si>
    <r>
      <t>M</t>
    </r>
    <r>
      <rPr>
        <sz val="12"/>
        <rFont val="宋体"/>
        <family val="3"/>
        <charset val="134"/>
      </rPr>
      <t>UX</t>
    </r>
    <phoneticPr fontId="40" type="noConversion"/>
  </si>
  <si>
    <t>Pad Name</t>
  </si>
  <si>
    <t>IO Direct</t>
  </si>
  <si>
    <t>Freq. max</t>
  </si>
  <si>
    <t>IO Foundry</t>
  </si>
  <si>
    <t>IO TYPE</t>
  </si>
  <si>
    <t>Drive</t>
  </si>
  <si>
    <t>表单信息</t>
    <phoneticPr fontId="40" type="noConversion"/>
  </si>
  <si>
    <t>含义</t>
    <phoneticPr fontId="40" type="noConversion"/>
  </si>
  <si>
    <t>管脚配置寄存器</t>
    <phoneticPr fontId="40" type="noConversion"/>
  </si>
  <si>
    <t>芯片内部上拉下
拉处理</t>
    <phoneticPr fontId="40" type="noConversion"/>
  </si>
  <si>
    <t>Buffer name</t>
    <phoneticPr fontId="40" type="noConversion"/>
  </si>
  <si>
    <t>Sig name</t>
  </si>
  <si>
    <t>Direct</t>
  </si>
  <si>
    <t>IOS_CTRL</t>
  </si>
  <si>
    <t>Freq</t>
  </si>
  <si>
    <t>Description</t>
  </si>
  <si>
    <t>含义及输入内容</t>
    <phoneticPr fontId="40" type="noConversion"/>
  </si>
  <si>
    <t>是否影响代码生成</t>
    <phoneticPr fontId="40" type="noConversion"/>
  </si>
  <si>
    <t>否</t>
    <phoneticPr fontId="40" type="noConversion"/>
  </si>
  <si>
    <t>是</t>
    <phoneticPr fontId="40" type="noConversion"/>
  </si>
  <si>
    <t>IOS_IOM_CTRL基地址-4'h4</t>
    <phoneticPr fontId="40" type="noConversion"/>
  </si>
  <si>
    <t>IOS_IOM_CTRL基地址</t>
    <phoneticPr fontId="40" type="noConversion"/>
  </si>
  <si>
    <t>表示芯片顶层代码例化PAD使用的Moudle名称，此处虽不涉及IO复用代码，但尽量要写的精确，以提高表单的精准度；</t>
    <phoneticPr fontId="40" type="noConversion"/>
  </si>
  <si>
    <t>用于填写芯片PAD的其它复用功能信息；</t>
    <phoneticPr fontId="40" type="noConversion"/>
  </si>
  <si>
    <r>
      <t>描述复用功能的含义，尽量写准确，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</si>
  <si>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重要等级</t>
    <phoneticPr fontId="40" type="noConversion"/>
  </si>
  <si>
    <t>★</t>
  </si>
  <si>
    <t>★</t>
    <phoneticPr fontId="40" type="noConversion"/>
  </si>
  <si>
    <t>★★★</t>
    <phoneticPr fontId="40" type="noConversion"/>
  </si>
  <si>
    <t>★★★★★</t>
    <phoneticPr fontId="40" type="noConversion"/>
  </si>
  <si>
    <t>★★</t>
    <phoneticPr fontId="40" type="noConversion"/>
  </si>
  <si>
    <t>★★★★</t>
    <phoneticPr fontId="40" type="noConversion"/>
  </si>
  <si>
    <t>Analog input</t>
  </si>
  <si>
    <t>Analog output</t>
  </si>
  <si>
    <t>Analog inout</t>
  </si>
  <si>
    <t>Schmitt trigger input</t>
  </si>
  <si>
    <t>Digital input (CMOS)</t>
  </si>
  <si>
    <t>Digital output (CMOS)</t>
  </si>
  <si>
    <t>Open Drain output</t>
  </si>
  <si>
    <t>Bidirectional digital with CMOS input</t>
  </si>
  <si>
    <t>Bidirectional digital with Open Drain output and CMOS input</t>
  </si>
  <si>
    <t>Direct</t>
    <phoneticPr fontId="40" type="noConversion"/>
  </si>
  <si>
    <t>Three State ouput</t>
    <phoneticPr fontId="40" type="noConversion"/>
  </si>
  <si>
    <r>
      <t>描述复用功能的频率，尽量写准确，便于后端同事参考，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</si>
  <si>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no_ctrl</t>
    <phoneticPr fontId="40" type="noConversion"/>
  </si>
  <si>
    <r>
      <rPr>
        <sz val="12"/>
        <rFont val="宋体"/>
        <family val="3"/>
        <charset val="134"/>
      </rPr>
      <t>表示该功能复用在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上不需要控制信息；</t>
    </r>
    <r>
      <rPr>
        <sz val="12"/>
        <rFont val="Arial"/>
        <family val="2"/>
      </rPr>
      <t>eg. PAD</t>
    </r>
    <r>
      <rPr>
        <sz val="12"/>
        <rFont val="宋体"/>
        <family val="3"/>
        <charset val="134"/>
      </rPr>
      <t>只复用一种功能或者该功能是硬线输入</t>
    </r>
    <r>
      <rPr>
        <vertAlign val="superscript"/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；</t>
    </r>
    <phoneticPr fontId="40" type="noConversion"/>
  </si>
  <si>
    <r>
      <t>I</t>
    </r>
    <r>
      <rPr>
        <b/>
        <sz val="12"/>
        <rFont val="宋体"/>
        <family val="3"/>
        <charset val="134"/>
      </rPr>
      <t>OS_CTRL</t>
    </r>
    <phoneticPr fontId="40" type="noConversion"/>
  </si>
  <si>
    <t>八、《特殊信号处理》表单介绍</t>
    <phoneticPr fontId="40" type="noConversion"/>
  </si>
  <si>
    <t>Alternative 
function (n)…..</t>
    <phoneticPr fontId="40" type="noConversion"/>
  </si>
  <si>
    <t xml:space="preserve">Main Function </t>
    <phoneticPr fontId="40" type="noConversion"/>
  </si>
  <si>
    <r>
      <t>描述复用功能的方向，有下拉菜单可选，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；详细说明见下表2；</t>
    </r>
    <phoneticPr fontId="40" type="noConversion"/>
  </si>
  <si>
    <r>
      <t>描述复用功能复用在PAD的详细信息，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；详细说明见下表3；</t>
    </r>
    <phoneticPr fontId="40" type="noConversion"/>
  </si>
  <si>
    <t>表2</t>
    <phoneticPr fontId="40" type="noConversion"/>
  </si>
  <si>
    <t>表3</t>
    <phoneticPr fontId="40" type="noConversion"/>
  </si>
  <si>
    <t>表1</t>
    <phoneticPr fontId="40" type="noConversion"/>
  </si>
  <si>
    <t>管脚上电默认状态</t>
    <phoneticPr fontId="40" type="noConversion"/>
  </si>
  <si>
    <t>管脚上电默认状态</t>
    <phoneticPr fontId="40" type="noConversion"/>
  </si>
  <si>
    <r>
      <t>IOM</t>
    </r>
    <r>
      <rPr>
        <b/>
        <sz val="12"/>
        <rFont val="宋体"/>
        <family val="3"/>
        <charset val="134"/>
      </rPr>
      <t>初值设置（推荐）</t>
    </r>
    <phoneticPr fontId="40" type="noConversion"/>
  </si>
  <si>
    <t>说明</t>
    <phoneticPr fontId="40" type="noConversion"/>
  </si>
  <si>
    <t>同上</t>
    <phoneticPr fontId="40" type="noConversion"/>
  </si>
  <si>
    <t>3：经过IO复用处理的每个PAD维护一套独立的IO控制信息寄存器——IOM_CTRL，该控制寄存器主要包含两大部分，一是PAD的OE控制信号(OE为高，表示输出使能,只作用于方向为DO的信号)，该信号参与MUX逻辑，经过MUX后的OE信号与顶层PAD的OE端相连；二是PAD的config信号，直接输出与顶层PAD端控制接口相连；不同的IO有不同的控制信息，本工具可最多支持6种config信息。比如，对于Dolphin IO，config信号包含的信息有PD，PU，SUS，CTL和SL，config信息的含义和位宽可以根据具体对接IO的类型而改变；</t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</si>
  <si>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OZ/DO/B/BOD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OZ/B/BOD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OZ/DO/B/BOD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</si>
  <si>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</si>
  <si>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下拉，管脚采用默认驱动值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</si>
  <si>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</si>
  <si>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</si>
  <si>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r>
      <t>OE=1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</si>
  <si>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t>表4</t>
    <phoneticPr fontId="40" type="noConversion"/>
  </si>
  <si>
    <t>表5</t>
    <phoneticPr fontId="40" type="noConversion"/>
  </si>
  <si>
    <t>此列不用填写</t>
    <phoneticPr fontId="40" type="noConversion"/>
  </si>
  <si>
    <t>九、《代码生成》表单介绍</t>
    <phoneticPr fontId="40" type="noConversion"/>
  </si>
  <si>
    <t>表6</t>
    <phoneticPr fontId="40" type="noConversion"/>
  </si>
  <si>
    <t>按钮名称</t>
    <phoneticPr fontId="40" type="noConversion"/>
  </si>
  <si>
    <t>功能</t>
    <phoneticPr fontId="40" type="noConversion"/>
  </si>
  <si>
    <t>更新软硬件接口文档</t>
    <phoneticPr fontId="40" type="noConversion"/>
  </si>
  <si>
    <t>获取文件路径</t>
    <phoneticPr fontId="40" type="noConversion"/>
  </si>
  <si>
    <t>生成代码</t>
    <phoneticPr fontId="40" type="noConversion"/>
  </si>
  <si>
    <r>
      <t>用于选择存放生成a</t>
    </r>
    <r>
      <rPr>
        <sz val="12"/>
        <rFont val="宋体"/>
        <family val="3"/>
        <charset val="134"/>
      </rPr>
      <t>uto_ioshare.txt的路径</t>
    </r>
    <phoneticPr fontId="40" type="noConversion"/>
  </si>
  <si>
    <t>根据《IO Pad》、《特殊信号处理》和《代码生成》表单的内容生成auto_ioshare.txt文档</t>
    <phoneticPr fontId="40" type="noConversion"/>
  </si>
  <si>
    <t>表7：配置信息</t>
    <phoneticPr fontId="36" type="noConversion"/>
  </si>
  <si>
    <t>配置信息</t>
    <phoneticPr fontId="40" type="noConversion"/>
  </si>
  <si>
    <t>接口类型</t>
    <phoneticPr fontId="40" type="noConversion"/>
  </si>
  <si>
    <t>下拉菜单可选；只能选择 SV interface或 Verilog两种；决定APB总线的代码类型；</t>
    <phoneticPr fontId="40" type="noConversion"/>
  </si>
  <si>
    <t>地址位宽</t>
    <phoneticPr fontId="40" type="noConversion"/>
  </si>
  <si>
    <t>数据位宽</t>
    <phoneticPr fontId="40" type="noConversion"/>
  </si>
  <si>
    <t>IOS代码APB总线的地址位宽；</t>
    <phoneticPr fontId="40" type="noConversion"/>
  </si>
  <si>
    <t>IOS_AF_CTRL基地址</t>
    <phoneticPr fontId="40" type="noConversion"/>
  </si>
  <si>
    <t>IOS_IOM_CTRL基地址</t>
    <phoneticPr fontId="40" type="noConversion"/>
  </si>
  <si>
    <t>用于确定IOS_AF_CTRL寄存器的基地址；注意位宽要与地址位宽保持相同；</t>
    <phoneticPr fontId="40" type="noConversion"/>
  </si>
  <si>
    <t>APB总线的数据位宽；通常为32bit；</t>
    <phoneticPr fontId="40" type="noConversion"/>
  </si>
  <si>
    <t>用于确定IOS_IOM_CTRL寄存器的基地址；注意位宽要与地址位宽保持相同；</t>
    <phoneticPr fontId="40" type="noConversion"/>
  </si>
  <si>
    <t>表8</t>
    <phoneticPr fontId="36" type="noConversion"/>
  </si>
  <si>
    <t>IO Foundry</t>
    <phoneticPr fontId="40" type="noConversion"/>
  </si>
  <si>
    <t>配置信息</t>
    <phoneticPr fontId="40" type="noConversion"/>
  </si>
  <si>
    <t>高bit位置</t>
    <phoneticPr fontId="40" type="noConversion"/>
  </si>
  <si>
    <t>高bit位置</t>
    <phoneticPr fontId="3" type="noConversion"/>
  </si>
  <si>
    <t>低bit位置</t>
    <phoneticPr fontId="3" type="noConversion"/>
  </si>
  <si>
    <t>低bit位置</t>
    <phoneticPr fontId="40" type="noConversion"/>
  </si>
  <si>
    <t>初始状态</t>
    <phoneticPr fontId="40" type="noConversion"/>
  </si>
  <si>
    <t>初始值</t>
    <phoneticPr fontId="40" type="noConversion"/>
  </si>
  <si>
    <t>禁止改动，只支持6种管脚上电默认状态，不支持个人定义及扩展；</t>
    <phoneticPr fontId="40" type="noConversion"/>
  </si>
  <si>
    <t>寄存器类型</t>
    <phoneticPr fontId="40" type="noConversion"/>
  </si>
  <si>
    <t>IOS_MF_CTRL</t>
    <phoneticPr fontId="40" type="noConversion"/>
  </si>
  <si>
    <t>IOS_AF_CTRL</t>
    <phoneticPr fontId="40" type="noConversion"/>
  </si>
  <si>
    <t>`IOS_DATA_WIDTH{1'b1}</t>
    <phoneticPr fontId="40" type="noConversion"/>
  </si>
  <si>
    <t>IOS_IOM_CTRL</t>
    <phoneticPr fontId="40" type="noConversion"/>
  </si>
  <si>
    <t>`IOS_DATA_WIDTH{1'b0}</t>
    <phoneticPr fontId="40" type="noConversion"/>
  </si>
  <si>
    <r>
      <rPr>
        <sz val="10.5"/>
        <rFont val="宋体"/>
        <family val="3"/>
        <charset val="134"/>
      </rPr>
      <t>具体根据</t>
    </r>
    <r>
      <rPr>
        <sz val="10.5"/>
        <rFont val="Arial"/>
        <family val="2"/>
      </rPr>
      <t>IO</t>
    </r>
    <r>
      <rPr>
        <sz val="10.5"/>
        <rFont val="宋体"/>
        <family val="3"/>
        <charset val="134"/>
      </rPr>
      <t>类型及上电默认状态，初值参考下面的表</t>
    </r>
    <r>
      <rPr>
        <sz val="10.5"/>
        <rFont val="Arial"/>
        <family val="2"/>
      </rPr>
      <t>1</t>
    </r>
    <r>
      <rPr>
        <sz val="10.5"/>
        <rFont val="宋体"/>
        <family val="3"/>
        <charset val="134"/>
      </rPr>
      <t>和表</t>
    </r>
    <r>
      <rPr>
        <sz val="10.5"/>
        <rFont val="Arial"/>
        <family val="2"/>
      </rPr>
      <t>8</t>
    </r>
    <phoneticPr fontId="40" type="noConversion"/>
  </si>
  <si>
    <t>寄存器初值</t>
    <phoneticPr fontId="40" type="noConversion"/>
  </si>
  <si>
    <t>高bit位置</t>
    <phoneticPr fontId="3" type="noConversion"/>
  </si>
  <si>
    <t>PCIE</t>
    <phoneticPr fontId="3" type="noConversion"/>
  </si>
  <si>
    <t>SV interface</t>
  </si>
  <si>
    <t>九、注意事项</t>
    <phoneticPr fontId="40" type="noConversion"/>
  </si>
  <si>
    <t>pad_fuc_in/pad_fuc_sh_in</t>
    <phoneticPr fontId="40" type="noConversion"/>
  </si>
  <si>
    <t>1：如果IO的其中一种复用功能是施密特输入（即功能的方向为SI），则针对该IO的顶层接口信号会存在两个输入信号：pad_fuc_in和pad_fuc_sh_in，对于同时支持两种输入接口的IO（Dolphin）是没有问题的；而对于只支持施密特或者非施密特输入的IO（TSMC or HISI4D），集成时需要做如下处理：assign pad_fuc_in = pad_fuc_sh_in，否则pad_fuc_in将没有驱动，造成不可预知的问题；</t>
    <phoneticPr fontId="40" type="noConversion"/>
  </si>
  <si>
    <t>设计人员关注度</t>
    <phoneticPr fontId="40" type="noConversion"/>
  </si>
  <si>
    <t>4：可在同一个IO复用代码中支持多种Foundry 数字IO；</t>
    <phoneticPr fontId="40" type="noConversion"/>
  </si>
  <si>
    <t>是</t>
  </si>
  <si>
    <t>输入门控控制</t>
    <phoneticPr fontId="3" type="noConversion"/>
  </si>
  <si>
    <r>
      <t>描述*</t>
    </r>
    <r>
      <rPr>
        <sz val="12"/>
        <rFont val="宋体"/>
        <family val="3"/>
        <charset val="134"/>
      </rPr>
      <t>**_SI&amp;PKG_REQ_auto_ios文档使用方法</t>
    </r>
    <phoneticPr fontId="40" type="noConversion"/>
  </si>
  <si>
    <t>描述PAD供电电压及电压域；</t>
    <phoneticPr fontId="40" type="noConversion"/>
  </si>
  <si>
    <t>描述PAD是否出封装；
Y代表出Die和出封装，N表示不出封装但出Die;
空白表示不能确定，可用于初期排布电源、地或其它信号；</t>
    <phoneticPr fontId="40" type="noConversion"/>
  </si>
  <si>
    <t>描述PAD方向，IO Direct 是PAD的所有复用功能方向的并集；</t>
    <phoneticPr fontId="40" type="noConversion"/>
  </si>
  <si>
    <t>1：使用STD_CELL标准MUX单元去搭建IOSHARE(以下简称IOS)代码，并兼容代码的可读性和后续网表ECO性；</t>
    <phoneticPr fontId="40" type="noConversion"/>
  </si>
  <si>
    <t>描述PAD最大工作频率，Freq.max是PAD的所有复用功能频率的最大值；</t>
    <phoneticPr fontId="40" type="noConversion"/>
  </si>
  <si>
    <r>
      <t xml:space="preserve">描述PAD的IO Foundry；
不同Foundry 数字IO的IOM控制信息不同，具体参见《代码生成》表单的IO Foundry信息；IO Foundry 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。</t>
    </r>
    <phoneticPr fontId="40" type="noConversion"/>
  </si>
  <si>
    <r>
      <t>描述PAD 电平特性；LVCMOS ，SSTL等，</t>
    </r>
    <r>
      <rPr>
        <b/>
        <sz val="12"/>
        <rFont val="宋体"/>
        <family val="3"/>
        <charset val="134"/>
      </rPr>
      <t>可以为空</t>
    </r>
    <phoneticPr fontId="40" type="noConversion"/>
  </si>
  <si>
    <r>
      <t>描述数字PAD的默认驱动强度，可以依据IO Direct进行填写，输入方向可以写0mA，输出或双向功能的PAD可以写默认强度值；此处有下拉菜单可选，对于模拟IO</t>
    </r>
    <r>
      <rPr>
        <b/>
        <sz val="12"/>
        <rFont val="宋体"/>
        <family val="3"/>
        <charset val="134"/>
      </rPr>
      <t>可以为空</t>
    </r>
    <r>
      <rPr>
        <sz val="12"/>
        <rFont val="宋体"/>
        <family val="3"/>
        <charset val="134"/>
      </rPr>
      <t>；</t>
    </r>
    <phoneticPr fontId="40" type="noConversion"/>
  </si>
  <si>
    <t>十、新增特性</t>
    <phoneticPr fontId="40" type="noConversion"/>
  </si>
  <si>
    <t>SSP0(5)</t>
    <phoneticPr fontId="3" type="noConversion"/>
  </si>
  <si>
    <t>tsmc</t>
    <phoneticPr fontId="3" type="noConversion"/>
  </si>
  <si>
    <t>28hpm</t>
    <phoneticPr fontId="3" type="noConversion"/>
  </si>
  <si>
    <t>8.3x9.7(before shrink)</t>
    <phoneticPr fontId="3" type="noConversion"/>
  </si>
  <si>
    <t>FCBGA</t>
    <phoneticPr fontId="3" type="noConversion"/>
  </si>
  <si>
    <t>25x25x2.13</t>
    <phoneticPr fontId="3" type="noConversion"/>
  </si>
  <si>
    <t>25x25x2.3</t>
    <phoneticPr fontId="3" type="noConversion"/>
  </si>
  <si>
    <t>25x25x2.47</t>
    <phoneticPr fontId="3" type="noConversion"/>
  </si>
  <si>
    <t>IOS_ADDR_WIDTH{1'b0}</t>
    <phoneticPr fontId="40" type="noConversion"/>
  </si>
  <si>
    <t>IOS_ADDR_WIDTH{1'b1}-4'h4</t>
    <phoneticPr fontId="40" type="noConversion"/>
  </si>
  <si>
    <r>
      <t xml:space="preserve">SOC 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输出使能信号</t>
    </r>
    <phoneticPr fontId="40" type="noConversion"/>
  </si>
  <si>
    <r>
      <t>SOC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输出信号</t>
    </r>
    <phoneticPr fontId="40" type="noConversion"/>
  </si>
  <si>
    <r>
      <t>ioshare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SOC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输入信号</t>
    </r>
    <phoneticPr fontId="40" type="noConversion"/>
  </si>
  <si>
    <t>描述顶层PAD名称，一般大写；
代码会根据此PAD名称，将其转换为小写，增加前后缀，作为与顶层的接口信号；eg:pad_(Pad Name)_in/sh_in/out/oe/cfg；</t>
    <phoneticPr fontId="40" type="noConversion"/>
  </si>
  <si>
    <r>
      <t>描述在芯片上电且处于复位状态,或芯片解复位，但无程序运行状态下的PAD状态；
此处有下拉菜单可选，详细说明见下表1，</t>
    </r>
    <r>
      <rPr>
        <b/>
        <sz val="12"/>
        <rFont val="宋体"/>
        <family val="3"/>
        <charset val="134"/>
      </rPr>
      <t>不能为空。</t>
    </r>
    <phoneticPr fontId="40" type="noConversion"/>
  </si>
  <si>
    <r>
      <t>表示PAD的上、下拉，是否寄存器可配置；</t>
    </r>
    <r>
      <rPr>
        <b/>
        <sz val="12"/>
        <rFont val="宋体"/>
        <family val="3"/>
        <charset val="134"/>
      </rPr>
      <t>可以为空；</t>
    </r>
    <phoneticPr fontId="40" type="noConversion"/>
  </si>
  <si>
    <r>
      <t>用于填写芯片上电后，软件无配置的PAD第一功能，此处</t>
    </r>
    <r>
      <rPr>
        <b/>
        <sz val="12"/>
        <rFont val="宋体"/>
        <family val="3"/>
        <charset val="134"/>
      </rPr>
      <t>不能为空；</t>
    </r>
    <phoneticPr fontId="40" type="noConversion"/>
  </si>
  <si>
    <t>PAD真值表</t>
    <phoneticPr fontId="40" type="noConversion"/>
  </si>
  <si>
    <t>OUT</t>
    <phoneticPr fontId="40" type="noConversion"/>
  </si>
  <si>
    <t>OE</t>
    <phoneticPr fontId="40" type="noConversion"/>
  </si>
  <si>
    <t>PAD</t>
    <phoneticPr fontId="40" type="noConversion"/>
  </si>
  <si>
    <t>Z</t>
    <phoneticPr fontId="40" type="noConversion"/>
  </si>
  <si>
    <t>x/x</t>
    <phoneticPr fontId="40" type="noConversion"/>
  </si>
  <si>
    <t>x</t>
    <phoneticPr fontId="40" type="noConversion"/>
  </si>
  <si>
    <t>x表示0或1</t>
    <phoneticPr fontId="40" type="noConversion"/>
  </si>
  <si>
    <r>
      <t>P</t>
    </r>
    <r>
      <rPr>
        <sz val="12"/>
        <rFont val="宋体"/>
        <family val="3"/>
        <charset val="134"/>
      </rPr>
      <t>U/PD</t>
    </r>
    <phoneticPr fontId="40" type="noConversion"/>
  </si>
  <si>
    <r>
      <t>0</t>
    </r>
    <r>
      <rPr>
        <sz val="12"/>
        <rFont val="宋体"/>
        <family val="3"/>
        <charset val="134"/>
      </rPr>
      <t>/0</t>
    </r>
    <phoneticPr fontId="40" type="noConversion"/>
  </si>
  <si>
    <r>
      <t>x</t>
    </r>
    <r>
      <rPr>
        <sz val="12"/>
        <rFont val="宋体"/>
        <family val="3"/>
        <charset val="134"/>
      </rPr>
      <t>/x</t>
    </r>
    <phoneticPr fontId="40" type="noConversion"/>
  </si>
  <si>
    <r>
      <t>0</t>
    </r>
    <r>
      <rPr>
        <sz val="12"/>
        <rFont val="宋体"/>
        <family val="3"/>
        <charset val="134"/>
      </rPr>
      <t>/1</t>
    </r>
    <phoneticPr fontId="40" type="noConversion"/>
  </si>
  <si>
    <r>
      <t>1</t>
    </r>
    <r>
      <rPr>
        <sz val="12"/>
        <rFont val="宋体"/>
        <family val="3"/>
        <charset val="134"/>
      </rPr>
      <t>/0</t>
    </r>
    <phoneticPr fontId="40" type="noConversion"/>
  </si>
  <si>
    <t>internal PAD Pull-Down enable , PAD in input State</t>
    <phoneticPr fontId="40" type="noConversion"/>
  </si>
  <si>
    <t>internal PAD Pull-Up enable , PAD in input State</t>
    <phoneticPr fontId="40" type="noConversion"/>
  </si>
  <si>
    <t>internal PAD Pull-Down/Pull-Up disable , PAD in output  High-Z State</t>
    <phoneticPr fontId="40" type="noConversion"/>
  </si>
  <si>
    <t>internal PAD Pull-Down/Pull-Up disable , PAD in output High State</t>
    <phoneticPr fontId="40" type="noConversion"/>
  </si>
  <si>
    <t>internal PAD Pull-Down/Pull-Up disable , PAD  in output Low State</t>
    <phoneticPr fontId="40" type="noConversion"/>
  </si>
  <si>
    <t>结构图</t>
    <phoneticPr fontId="40" type="noConversion"/>
  </si>
  <si>
    <t>含义</t>
    <phoneticPr fontId="40" type="noConversion"/>
  </si>
  <si>
    <t>注1：管脚上电默认状态的OZ与功能方向的OZ含义不同；</t>
    <phoneticPr fontId="40" type="noConversion"/>
  </si>
  <si>
    <t>Packgae</t>
    <phoneticPr fontId="40" type="noConversion"/>
  </si>
  <si>
    <t>填写芯片封装信息</t>
    <phoneticPr fontId="40" type="noConversion"/>
  </si>
  <si>
    <t>后端同事</t>
    <phoneticPr fontId="40" type="noConversion"/>
  </si>
  <si>
    <t>Die</t>
    <phoneticPr fontId="40" type="noConversion"/>
  </si>
  <si>
    <t>填写芯片Die信息</t>
    <phoneticPr fontId="40" type="noConversion"/>
  </si>
  <si>
    <t>Performance</t>
    <phoneticPr fontId="40" type="noConversion"/>
  </si>
  <si>
    <t>填写芯片封装性能</t>
    <phoneticPr fontId="40" type="noConversion"/>
  </si>
  <si>
    <t>Y</t>
    <phoneticPr fontId="40" type="noConversion"/>
  </si>
  <si>
    <t>N</t>
    <phoneticPr fontId="40" type="noConversion"/>
  </si>
  <si>
    <t>设计及硬件同事共同确认</t>
    <phoneticPr fontId="40" type="noConversion"/>
  </si>
  <si>
    <r>
      <rPr>
        <sz val="12"/>
        <rFont val="宋体"/>
        <family val="3"/>
        <charset val="134"/>
      </rPr>
      <t>对接</t>
    </r>
    <r>
      <rPr>
        <sz val="12"/>
        <rFont val="Arial"/>
        <family val="2"/>
      </rPr>
      <t>IO</t>
    </r>
    <r>
      <rPr>
        <sz val="12"/>
        <rFont val="宋体"/>
        <family val="3"/>
        <charset val="134"/>
      </rPr>
      <t>结构图</t>
    </r>
    <phoneticPr fontId="40" type="noConversion"/>
  </si>
  <si>
    <t>注1：硬线输入功能是指复用在该PAD的输入功能一直存在，不受功能复用寄存器控制，不影响其他复用功能工作；一般芯片上电解复位后会自动锁存管脚状态，之后PAD切换到其它功能，可以采用硬线输入。通常使用硬线输入的目的是为了节约芯片PAD数目。</t>
    <phoneticPr fontId="40" type="noConversion"/>
  </si>
  <si>
    <t>IO复用关系的自动化产生，难免顾虑不到一些特殊信号的要求。比如后端需要某些时钟信号DFT时可控；或者一些IP内部会控制一些IOM的信息，例如uicc管脚的下拉控制就来自于其ip内部；针对这些特殊需求，SI&amp;PKG_REQ专门提供《特殊信号处理》表单用于描述这些信息，以便脚本自动化完成这些功能；</t>
    <phoneticPr fontId="40" type="noConversion"/>
  </si>
  <si>
    <r>
      <t>表4描述的是DFT处理表格，在DFT模式下，即芯片在dft_mode=1时，fuction中描述的各时钟信号都可以从复用的PAD中获得，而不需软件切换复用功能；</t>
    </r>
    <r>
      <rPr>
        <sz val="12"/>
        <color rgb="FFFF0000"/>
        <rFont val="宋体"/>
        <family val="3"/>
        <charset val="134"/>
      </rPr>
      <t>fuctionN_name可以依据复用关系的复杂度，按照表格形式自由增加；</t>
    </r>
    <phoneticPr fontId="40" type="noConversion"/>
  </si>
  <si>
    <r>
      <t>表5描述的是IOM特殊处理表格，IOM列表示当功能切换时，IOM相应的属性（PD，PU，SL，CTL，DS等，不同IO属性可能略有不同）不受IOM_CTRL的相应bit控制,而是受IP的控制；</t>
    </r>
    <r>
      <rPr>
        <sz val="12"/>
        <color rgb="FFFF0000"/>
        <rFont val="宋体"/>
        <family val="3"/>
        <charset val="134"/>
      </rPr>
      <t>ReplceN_name 用来描述IP替换IOM相应属性的信号；ReplaceN_CTRL 为功能切换控制信号，此信号要于IOS_CTRL的fuc_ctrlN_n保持一致；RepalceN_name和RelpaceN_CTRL可按照复用关系的复杂度，按照表格形式组对增加，切记，每一行只能对应一种IOM属性；</t>
    </r>
    <phoneticPr fontId="40" type="noConversion"/>
  </si>
  <si>
    <t>《代码生成》表单实现了最终代码产生的方式及一些代码全局配置信息；</t>
    <phoneticPr fontId="40" type="noConversion"/>
  </si>
  <si>
    <t>目前已经不支持，所有人员共同使用IO Pad 表单</t>
    <phoneticPr fontId="40" type="noConversion"/>
  </si>
  <si>
    <t>用于根据PAD的上电默认状态确定IOM_CTRL初值，具体初值需要根据PAD的类型确定，初值的推荐原则请参考表1；</t>
    <phoneticPr fontId="40" type="noConversion"/>
  </si>
  <si>
    <t>定义属性在IOM_CTRL的高bit起始位置；如果是1bit信号，高bit位置等于低bit位置；</t>
    <phoneticPr fontId="40" type="noConversion"/>
  </si>
  <si>
    <t>定义属性在IOM_CTRL的低bit起始位置；如果是1bit信号，低bit位置等于高bit位置；</t>
    <phoneticPr fontId="40" type="noConversion"/>
  </si>
  <si>
    <t>GPIO6</t>
  </si>
  <si>
    <t>GPIO7</t>
  </si>
  <si>
    <t>GPIO8</t>
  </si>
  <si>
    <t>GPIO10</t>
  </si>
  <si>
    <t>GPIO11</t>
  </si>
  <si>
    <t>GPIO12</t>
  </si>
  <si>
    <t>GSBI0</t>
    <phoneticPr fontId="50" type="noConversion"/>
  </si>
  <si>
    <t>GSBI1</t>
    <phoneticPr fontId="50" type="noConversion"/>
  </si>
  <si>
    <t>GSBI2</t>
    <phoneticPr fontId="50" type="noConversion"/>
  </si>
  <si>
    <t>GPIO1</t>
    <phoneticPr fontId="50" type="noConversion"/>
  </si>
  <si>
    <t>GPIO2</t>
    <phoneticPr fontId="50" type="noConversion"/>
  </si>
  <si>
    <t>GPIO3</t>
    <phoneticPr fontId="50" type="noConversion"/>
  </si>
  <si>
    <t>GPIO4</t>
    <phoneticPr fontId="50" type="noConversion"/>
  </si>
  <si>
    <t>GPIO5</t>
    <phoneticPr fontId="50" type="noConversion"/>
  </si>
  <si>
    <t>GPIO9</t>
    <phoneticPr fontId="50" type="noConversion"/>
  </si>
  <si>
    <t>SPI_CLK</t>
    <phoneticPr fontId="50" type="noConversion"/>
  </si>
  <si>
    <t>SPI_DIO</t>
    <phoneticPr fontId="50" type="noConversion"/>
  </si>
  <si>
    <t>SPI_DO</t>
    <phoneticPr fontId="50" type="noConversion"/>
  </si>
  <si>
    <t>USIM1_CLK</t>
    <phoneticPr fontId="50" type="noConversion"/>
  </si>
  <si>
    <t>USIM1_DATA</t>
    <phoneticPr fontId="50" type="noConversion"/>
  </si>
  <si>
    <t>UICC_DP</t>
    <phoneticPr fontId="50" type="noConversion"/>
  </si>
  <si>
    <t>UICC_DM</t>
    <phoneticPr fontId="50" type="noConversion"/>
  </si>
  <si>
    <t>PCM_CLK</t>
    <phoneticPr fontId="50" type="noConversion"/>
  </si>
  <si>
    <t>PCM_SYNC</t>
    <phoneticPr fontId="50" type="noConversion"/>
  </si>
  <si>
    <t>PCM_DI</t>
    <phoneticPr fontId="50" type="noConversion"/>
  </si>
  <si>
    <t>PCM_DO</t>
    <phoneticPr fontId="50" type="noConversion"/>
  </si>
  <si>
    <t>HS_UART_TXD</t>
    <phoneticPr fontId="50" type="noConversion"/>
  </si>
  <si>
    <t>HS_UART_RXD</t>
    <phoneticPr fontId="50" type="noConversion"/>
  </si>
  <si>
    <t>HS_UART_RTS_N</t>
    <phoneticPr fontId="50" type="noConversion"/>
  </si>
  <si>
    <t>HS_UART_CTS_N</t>
    <phoneticPr fontId="50" type="noConversion"/>
  </si>
  <si>
    <t>I2C_SCL</t>
    <phoneticPr fontId="50" type="noConversion"/>
  </si>
  <si>
    <t>I2C_SDA</t>
    <phoneticPr fontId="50" type="noConversion"/>
  </si>
  <si>
    <t>LCD_CS_N</t>
    <phoneticPr fontId="50" type="noConversion"/>
  </si>
  <si>
    <t>LCD_RST_N</t>
    <phoneticPr fontId="50" type="noConversion"/>
  </si>
  <si>
    <t>UART2_TXD</t>
    <phoneticPr fontId="50" type="noConversion"/>
  </si>
  <si>
    <t>UART2_RXD</t>
    <phoneticPr fontId="50" type="noConversion"/>
  </si>
  <si>
    <t>UART3_TXD</t>
    <phoneticPr fontId="50" type="noConversion"/>
  </si>
  <si>
    <t>UART3_RXD</t>
    <phoneticPr fontId="50" type="noConversion"/>
  </si>
  <si>
    <t>UART1_TXD</t>
    <phoneticPr fontId="50" type="noConversion"/>
  </si>
  <si>
    <t>UART1_RXD</t>
    <phoneticPr fontId="50" type="noConversion"/>
  </si>
  <si>
    <t>GPIO</t>
    <phoneticPr fontId="50" type="noConversion"/>
  </si>
  <si>
    <t>描述复用功能名称，对于使用MUX逻辑实现的功能要求小写。
1:多比特的信号要表示清楚信号的对应比特数，比如gpio0[1]:表示第0组GPIO的第1bit信号；
2：多比特信号的bit数一定要写全，不允许出现缺少情况，比如Sig name 只出现了gpio0[1]，而没有出现其它有关gpio0的bit描述，代码会以出现bit信息最高值表示信号的位宽，这样gpio0的位宽为2bit，gpio0[0]将会没有Drive或Load；
3：Sig name要尽量保持与内部ip代码接口信号一直，便于后续代码集成；
4：对于双向的Sig name，填写Sig_name时要去掉_out 或 _in的关键字母，工具会根据Sig name的双向特性，自动为信号添加***_out，***_in和***_oe等接口信号；</t>
    <phoneticPr fontId="40" type="noConversion"/>
  </si>
  <si>
    <t>1.8VD(P3)</t>
  </si>
  <si>
    <r>
      <t>2：IOS_CTRL的信息</t>
    </r>
    <r>
      <rPr>
        <sz val="12"/>
        <color rgb="FFFF0000"/>
        <rFont val="宋体"/>
        <family val="3"/>
        <charset val="134"/>
      </rPr>
      <t>非常重要。
To :</t>
    </r>
    <r>
      <rPr>
        <sz val="12"/>
        <rFont val="宋体"/>
        <family val="3"/>
        <charset val="134"/>
      </rPr>
      <t xml:space="preserve">硬件人员可以根据控制功能切换的IOS_CTRL寄存器差别，判断那些功能可以单独切换，那些功能是成组切换，以便单板设计上的灵活性；
</t>
    </r>
    <r>
      <rPr>
        <sz val="12"/>
        <color rgb="FFFF0000"/>
        <rFont val="宋体"/>
        <family val="3"/>
        <charset val="134"/>
      </rPr>
      <t>To :</t>
    </r>
    <r>
      <rPr>
        <sz val="12"/>
        <rFont val="宋体"/>
        <family val="3"/>
        <charset val="134"/>
      </rPr>
      <t xml:space="preserve">软件人员要保证每一个PAD只允许出现一种功能配置,即一个复用控制寄存器的相应bit为1，其它的bit都必须为0；
</t>
    </r>
    <r>
      <rPr>
        <sz val="12"/>
        <color rgb="FFFF0000"/>
        <rFont val="宋体"/>
        <family val="3"/>
        <charset val="134"/>
      </rPr>
      <t>To :</t>
    </r>
    <r>
      <rPr>
        <sz val="12"/>
        <color theme="1"/>
        <rFont val="宋体"/>
        <family val="3"/>
        <charset val="134"/>
      </rPr>
      <t>代码设计人员要保证控制寄存器的合理分配和控制信息(fuc_ctrlN_n)描述的正确性,具体要求要遵守表3描述；</t>
    </r>
    <phoneticPr fontId="40" type="noConversion"/>
  </si>
  <si>
    <t>IOM_CTRL16</t>
  </si>
  <si>
    <t xml:space="preserve"> </t>
    <phoneticPr fontId="39" type="noConversion"/>
  </si>
  <si>
    <t>时钟自动门控使能信号</t>
    <phoneticPr fontId="40" type="noConversion"/>
  </si>
  <si>
    <t>ABB</t>
    <phoneticPr fontId="3" type="noConversion"/>
  </si>
  <si>
    <t>OT</t>
    <phoneticPr fontId="40" type="noConversion"/>
  </si>
  <si>
    <t>GSBI3</t>
    <phoneticPr fontId="50" type="noConversion"/>
  </si>
  <si>
    <t>OT</t>
  </si>
  <si>
    <t>GPIO13</t>
    <phoneticPr fontId="50" type="noConversion"/>
  </si>
  <si>
    <t>GPIO14</t>
  </si>
  <si>
    <t>GPIO15</t>
  </si>
  <si>
    <t>GPIO16</t>
  </si>
  <si>
    <t>IOM_CTRL10</t>
  </si>
  <si>
    <r>
      <t>fuc_ctrlN_n</t>
    </r>
    <r>
      <rPr>
        <sz val="12"/>
        <rFont val="宋体"/>
        <family val="3"/>
        <charset val="134"/>
      </rPr>
      <t>表示为</t>
    </r>
    <r>
      <rPr>
        <sz val="12"/>
        <rFont val="Arial"/>
        <family val="2"/>
      </rPr>
      <t>fuc</t>
    </r>
    <r>
      <rPr>
        <sz val="12"/>
        <rFont val="宋体"/>
        <family val="3"/>
        <charset val="134"/>
      </rPr>
      <t>复用到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 xml:space="preserve">上的功能控制；
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总数，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表示第几个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数</t>
    </r>
    <r>
      <rPr>
        <sz val="12"/>
        <rFont val="Arial"/>
        <family val="2"/>
      </rPr>
      <t>;(N&gt;=1; 1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N)</t>
    </r>
    <r>
      <rPr>
        <sz val="12"/>
        <rFont val="宋体"/>
        <family val="3"/>
        <charset val="134"/>
      </rPr>
      <t>。当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大于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>时，表示该功能复用到多处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。当该功能含有输入功能（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）时，输入功能来自不同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的优先级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值越小越高。</t>
    </r>
    <r>
      <rPr>
        <sz val="12"/>
        <rFont val="Arial"/>
        <family val="2"/>
      </rPr>
      <t>ios_m(a)f_ctrlX[x]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fuc_ctrlN_n</t>
    </r>
    <r>
      <rPr>
        <sz val="12"/>
        <rFont val="宋体"/>
        <family val="3"/>
        <charset val="134"/>
      </rPr>
      <t>是</t>
    </r>
    <r>
      <rPr>
        <sz val="12"/>
        <rFont val="Arial"/>
        <family val="2"/>
      </rPr>
      <t>ios_m(a)f_ctrlX</t>
    </r>
    <r>
      <rPr>
        <sz val="12"/>
        <rFont val="宋体"/>
        <family val="3"/>
        <charset val="134"/>
      </rPr>
      <t>寄存器的的第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位；</t>
    </r>
    <r>
      <rPr>
        <sz val="12"/>
        <rFont val="Arial"/>
        <family val="2"/>
      </rPr>
      <t>(0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31)</t>
    </r>
    <r>
      <rPr>
        <sz val="12"/>
        <rFont val="宋体"/>
        <family val="3"/>
        <charset val="134"/>
      </rPr>
      <t>；</t>
    </r>
    <r>
      <rPr>
        <sz val="12"/>
        <rFont val="Arial"/>
        <family val="2"/>
      </rPr>
      <t>Dv</t>
    </r>
    <r>
      <rPr>
        <sz val="12"/>
        <rFont val="宋体"/>
        <family val="3"/>
        <charset val="134"/>
      </rPr>
      <t>表示该功能（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）在该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不复用出去时，该功能信号的输入使用的默认值，</t>
    </r>
    <r>
      <rPr>
        <sz val="12"/>
        <rFont val="Arial"/>
        <family val="2"/>
      </rPr>
      <t>v</t>
    </r>
    <r>
      <rPr>
        <sz val="12"/>
        <rFont val="宋体"/>
        <family val="3"/>
        <charset val="134"/>
      </rPr>
      <t>取值为</t>
    </r>
    <r>
      <rPr>
        <sz val="12"/>
        <rFont val="Arial"/>
        <family val="2"/>
      </rPr>
      <t>0</t>
    </r>
    <r>
      <rPr>
        <sz val="12"/>
        <rFont val="宋体"/>
        <family val="3"/>
        <charset val="134"/>
      </rPr>
      <t>或者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 xml:space="preserve">；
</t>
    </r>
    <r>
      <rPr>
        <sz val="12"/>
        <color rgb="FFFF0000"/>
        <rFont val="宋体"/>
        <family val="3"/>
        <charset val="134"/>
      </rPr>
      <t>使用方法及注意事项：
一、切记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和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要全面匹配</t>
    </r>
    <r>
      <rPr>
        <sz val="12"/>
        <color rgb="FFFF0000"/>
        <rFont val="Arial"/>
        <family val="2"/>
      </rPr>
      <t xml:space="preserve"> </t>
    </r>
    <r>
      <rPr>
        <sz val="12"/>
        <color rgb="FFFF0000"/>
        <rFont val="宋体"/>
        <family val="3"/>
        <charset val="134"/>
      </rPr>
      <t>，比如</t>
    </r>
    <r>
      <rPr>
        <sz val="12"/>
        <color rgb="FFFF0000"/>
        <rFont val="Arial"/>
        <family val="2"/>
      </rPr>
      <t>N=7</t>
    </r>
    <r>
      <rPr>
        <sz val="12"/>
        <color rgb="FFFF0000"/>
        <rFont val="宋体"/>
        <family val="3"/>
        <charset val="134"/>
      </rPr>
      <t>，那么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的取值必须有</t>
    </r>
    <r>
      <rPr>
        <sz val="12"/>
        <color rgb="FFFF0000"/>
        <rFont val="Arial"/>
        <family val="2"/>
      </rPr>
      <t xml:space="preserve"> 1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2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3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4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5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6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7</t>
    </r>
    <r>
      <rPr>
        <sz val="12"/>
        <color rgb="FFFF0000"/>
        <rFont val="宋体"/>
        <family val="3"/>
        <charset val="134"/>
      </rPr>
      <t>；且必须唯一，不能重复；对与</t>
    </r>
    <r>
      <rPr>
        <sz val="12"/>
        <color rgb="FFFF0000"/>
        <rFont val="Arial"/>
        <family val="2"/>
      </rPr>
      <t xml:space="preserve">Main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）控制寄存器，对与</t>
    </r>
    <r>
      <rPr>
        <sz val="12"/>
        <color rgb="FFFF0000"/>
        <rFont val="Arial"/>
        <family val="2"/>
      </rPr>
      <t xml:space="preserve">Alternative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ios_af_ctrl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）控制寄存器；
二、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的描述必须是唯一的，对于成组功能的切换，允许不同的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对应相同的控制寄存器</t>
    </r>
    <r>
      <rPr>
        <sz val="12"/>
        <color rgb="FFFF0000"/>
        <rFont val="Arial"/>
        <family val="2"/>
      </rPr>
      <t>ios_m(a)f_ctrlX[x],</t>
    </r>
    <r>
      <rPr>
        <sz val="12"/>
        <color rgb="FFFF0000"/>
        <rFont val="宋体"/>
        <family val="3"/>
        <charset val="134"/>
      </rPr>
      <t>推荐</t>
    </r>
    <r>
      <rPr>
        <sz val="12"/>
        <color rgb="FFFF0000"/>
        <rFont val="Arial"/>
        <family val="2"/>
      </rPr>
      <t>fuc</t>
    </r>
    <r>
      <rPr>
        <sz val="12"/>
        <color rgb="FFFF0000"/>
        <rFont val="宋体"/>
        <family val="3"/>
        <charset val="134"/>
      </rPr>
      <t>使用功能名称；
三、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的值要重视，</t>
    </r>
    <r>
      <rPr>
        <sz val="12"/>
        <color rgb="FFFF0000"/>
        <rFont val="Arial"/>
        <family val="2"/>
      </rPr>
      <t>v</t>
    </r>
    <r>
      <rPr>
        <sz val="12"/>
        <color rgb="FFFF0000"/>
        <rFont val="宋体"/>
        <family val="3"/>
        <charset val="134"/>
      </rPr>
      <t>的取值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或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要与具体</t>
    </r>
    <r>
      <rPr>
        <sz val="12"/>
        <color rgb="FFFF0000"/>
        <rFont val="Arial"/>
        <family val="2"/>
      </rPr>
      <t>IP</t>
    </r>
    <r>
      <rPr>
        <sz val="12"/>
        <color rgb="FFFF0000"/>
        <rFont val="宋体"/>
        <family val="3"/>
        <charset val="134"/>
      </rPr>
      <t>的责任人确认清楚，防止选择不正确的值对芯片造成不可预知的问题（尤其是输入时钟信号，时钟</t>
    </r>
    <r>
      <rPr>
        <sz val="12"/>
        <color rgb="FFFF0000"/>
        <rFont val="Arial"/>
        <family val="2"/>
      </rPr>
      <t>Gating</t>
    </r>
    <r>
      <rPr>
        <sz val="12"/>
        <color rgb="FFFF0000"/>
        <rFont val="宋体"/>
        <family val="3"/>
        <charset val="134"/>
      </rPr>
      <t>电路和时钟无毛刺切换电路的组合会引入</t>
    </r>
    <r>
      <rPr>
        <sz val="12"/>
        <color rgb="FFFF0000"/>
        <rFont val="Arial"/>
        <family val="2"/>
      </rPr>
      <t>Latch+MUX</t>
    </r>
    <r>
      <rPr>
        <sz val="12"/>
        <color rgb="FFFF0000"/>
        <rFont val="宋体"/>
        <family val="3"/>
        <charset val="134"/>
      </rPr>
      <t>的逻辑，而这种逻辑会在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选值的不合理情况下，影响正常时钟的使用）；
四、结合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值与</t>
    </r>
    <r>
      <rPr>
        <sz val="12"/>
        <color rgb="FFFF0000"/>
        <rFont val="Arial"/>
        <family val="2"/>
      </rPr>
      <t>IOS_(M/A)F_CTRL</t>
    </r>
    <r>
      <rPr>
        <sz val="12"/>
        <color rgb="FFFF0000"/>
        <rFont val="宋体"/>
        <family val="3"/>
        <charset val="134"/>
      </rPr>
      <t>的基地址可推算出相关寄存器的绝对值</t>
    </r>
    <r>
      <rPr>
        <sz val="12"/>
        <color rgb="FFFF0000"/>
        <rFont val="Arial"/>
        <family val="2"/>
      </rPr>
      <t>: addr(IOS_(M/A)F_CTRLn)=IOS_(M/A)F_CTRL</t>
    </r>
    <r>
      <rPr>
        <sz val="12"/>
        <color rgb="FFFF0000"/>
        <rFont val="宋体"/>
        <family val="3"/>
        <charset val="134"/>
      </rPr>
      <t>基地址</t>
    </r>
    <r>
      <rPr>
        <sz val="12"/>
        <color rgb="FFFF0000"/>
        <rFont val="Arial"/>
        <family val="2"/>
      </rPr>
      <t>+n*4'h4,(n=0,1</t>
    </r>
    <r>
      <rPr>
        <sz val="12"/>
        <color rgb="FFFF0000"/>
        <rFont val="宋体"/>
        <family val="3"/>
        <charset val="134"/>
      </rPr>
      <t>…</t>
    </r>
    <r>
      <rPr>
        <sz val="12"/>
        <color rgb="FFFF0000"/>
        <rFont val="Arial"/>
        <family val="2"/>
      </rPr>
      <t>)</t>
    </r>
    <r>
      <rPr>
        <sz val="12"/>
        <color rgb="FFFF0000"/>
        <rFont val="宋体"/>
        <family val="3"/>
        <charset val="134"/>
      </rPr>
      <t>；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基地址为全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；</t>
    </r>
    <r>
      <rPr>
        <sz val="12"/>
        <rFont val="Arial"/>
        <family val="2"/>
      </rPr>
      <t xml:space="preserve">
</t>
    </r>
    <phoneticPr fontId="40" type="noConversion"/>
  </si>
  <si>
    <t>SPI_CS_N</t>
    <phoneticPr fontId="50" type="noConversion"/>
  </si>
  <si>
    <t>USB stick</t>
    <phoneticPr fontId="3" type="noConversion"/>
  </si>
  <si>
    <t>E5</t>
    <phoneticPr fontId="3" type="noConversion"/>
  </si>
  <si>
    <t>CPE</t>
    <phoneticPr fontId="3" type="noConversion"/>
  </si>
  <si>
    <t>Phone</t>
    <phoneticPr fontId="3" type="noConversion"/>
  </si>
  <si>
    <t>GPS</t>
    <phoneticPr fontId="3" type="noConversion"/>
  </si>
  <si>
    <t>charge</t>
    <phoneticPr fontId="3" type="noConversion"/>
  </si>
  <si>
    <t>LCD</t>
    <phoneticPr fontId="3" type="noConversion"/>
  </si>
  <si>
    <t>slic</t>
    <phoneticPr fontId="3" type="noConversion"/>
  </si>
  <si>
    <t>PCM</t>
    <phoneticPr fontId="3" type="noConversion"/>
  </si>
  <si>
    <t>大容量SIM</t>
    <phoneticPr fontId="3" type="noConversion"/>
  </si>
  <si>
    <t>AP</t>
    <phoneticPr fontId="3" type="noConversion"/>
  </si>
  <si>
    <t>codec</t>
    <phoneticPr fontId="3" type="noConversion"/>
  </si>
  <si>
    <t>EM</t>
    <phoneticPr fontId="3" type="noConversion"/>
  </si>
  <si>
    <t>GPS</t>
    <phoneticPr fontId="3" type="noConversion"/>
  </si>
  <si>
    <t>串行flash</t>
    <phoneticPr fontId="3" type="noConversion"/>
  </si>
  <si>
    <t>test_hsic0[31:0]</t>
    <phoneticPr fontId="3" type="noConversion"/>
  </si>
  <si>
    <t>test_hsic1[31:0]</t>
    <phoneticPr fontId="3" type="noConversion"/>
  </si>
  <si>
    <t>test_usb0[31:0]</t>
    <phoneticPr fontId="3" type="noConversion"/>
  </si>
  <si>
    <t>test_usb1[31:0]</t>
    <phoneticPr fontId="3" type="noConversion"/>
  </si>
  <si>
    <t>test_usb2[31:0]</t>
    <phoneticPr fontId="3" type="noConversion"/>
  </si>
  <si>
    <t>test_usb3[31:0]</t>
    <phoneticPr fontId="3" type="noConversion"/>
  </si>
  <si>
    <t>test_abb0[31:0]</t>
    <phoneticPr fontId="3" type="noConversion"/>
  </si>
  <si>
    <t>test_abb1[31:0]</t>
    <phoneticPr fontId="3" type="noConversion"/>
  </si>
  <si>
    <t>test_abb2[31:0]</t>
    <phoneticPr fontId="3" type="noConversion"/>
  </si>
  <si>
    <t>test_abb3[31:0]</t>
    <phoneticPr fontId="3" type="noConversion"/>
  </si>
  <si>
    <t>test_clk[31:0]</t>
    <phoneticPr fontId="3" type="noConversion"/>
  </si>
  <si>
    <t>test_sys0[31:0]</t>
    <phoneticPr fontId="3" type="noConversion"/>
  </si>
  <si>
    <t>test_sys1[31:0]</t>
    <phoneticPr fontId="3" type="noConversion"/>
  </si>
  <si>
    <t>Alternative function (1)</t>
  </si>
  <si>
    <t>Alternative function (2)</t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</si>
  <si>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0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</si>
  <si>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上、下拉，管脚采用默认驱动值（与</t>
    </r>
    <r>
      <rPr>
        <sz val="12"/>
        <rFont val="Arial"/>
        <family val="2"/>
      </rPr>
      <t>IX</t>
    </r>
    <r>
      <rPr>
        <sz val="12"/>
        <rFont val="宋体"/>
        <family val="3"/>
        <charset val="134"/>
      </rPr>
      <t>需求相同）</t>
    </r>
    <phoneticPr fontId="40" type="noConversion"/>
  </si>
  <si>
    <t>internal PAD Pull-Down/Pull-Up disable , PAD  in input State</t>
    <phoneticPr fontId="40" type="noConversion"/>
  </si>
  <si>
    <r>
      <t>P</t>
    </r>
    <r>
      <rPr>
        <sz val="12"/>
        <rFont val="宋体"/>
        <family val="3"/>
        <charset val="134"/>
      </rPr>
      <t>1</t>
    </r>
    <phoneticPr fontId="3" type="noConversion"/>
  </si>
  <si>
    <t>P3</t>
    <phoneticPr fontId="3" type="noConversion"/>
  </si>
  <si>
    <t>NAND(22)</t>
    <phoneticPr fontId="3" type="noConversion"/>
  </si>
  <si>
    <t>USB30(10)</t>
    <phoneticPr fontId="3" type="noConversion"/>
  </si>
  <si>
    <r>
      <t>H</t>
    </r>
    <r>
      <rPr>
        <sz val="12"/>
        <rFont val="宋体"/>
        <family val="3"/>
        <charset val="134"/>
      </rPr>
      <t>SIC(2)</t>
    </r>
    <phoneticPr fontId="3" type="noConversion"/>
  </si>
  <si>
    <t>GPIO(8)</t>
    <phoneticPr fontId="3" type="noConversion"/>
  </si>
  <si>
    <r>
      <t>P</t>
    </r>
    <r>
      <rPr>
        <sz val="12"/>
        <rFont val="宋体"/>
        <family val="3"/>
        <charset val="134"/>
      </rPr>
      <t>4</t>
    </r>
    <phoneticPr fontId="3" type="noConversion"/>
  </si>
  <si>
    <t>UART(2)</t>
    <phoneticPr fontId="3" type="noConversion"/>
  </si>
  <si>
    <r>
      <t>BOOT_MODE/JTAG_MODE</t>
    </r>
    <r>
      <rPr>
        <sz val="10"/>
        <color indexed="8"/>
        <rFont val="宋体"/>
        <family val="3"/>
        <charset val="134"/>
      </rPr>
      <t>等</t>
    </r>
    <r>
      <rPr>
        <sz val="10"/>
        <color indexed="8"/>
        <rFont val="Arial"/>
        <family val="2"/>
      </rPr>
      <t>(8)</t>
    </r>
    <phoneticPr fontId="26" type="noConversion"/>
  </si>
  <si>
    <t>USIM0(3)</t>
    <phoneticPr fontId="3" type="noConversion"/>
  </si>
  <si>
    <r>
      <t>M</t>
    </r>
    <r>
      <rPr>
        <sz val="12"/>
        <rFont val="宋体"/>
        <family val="3"/>
        <charset val="134"/>
      </rPr>
      <t>MC0(6)</t>
    </r>
    <phoneticPr fontId="3" type="noConversion"/>
  </si>
  <si>
    <t>JTAG0(6)</t>
    <phoneticPr fontId="3" type="noConversion"/>
  </si>
  <si>
    <t>1.3V/1.8V</t>
    <phoneticPr fontId="3" type="noConversion"/>
  </si>
  <si>
    <t>1.8V/3.0V</t>
    <phoneticPr fontId="3" type="noConversion"/>
  </si>
  <si>
    <t>JTAG1(6)</t>
    <phoneticPr fontId="3" type="noConversion"/>
  </si>
  <si>
    <t>GPIO(3)</t>
    <phoneticPr fontId="3" type="noConversion"/>
  </si>
  <si>
    <t xml:space="preserve">在《代码生成》表单中，新增了输入门控控制的配置选项，可用于PAD的低功耗，实现对PAD接收Buffer的自动控制；
输入门控控制可选下拉菜单：是、否；
代码实现及控制方式：
当选择"是"时，每个PAD的IOM_CTRL(NA_CTRL无此功能)会增加1bit控制信息，bit位置位于各Foundry IO的OE比特位置加1；此信号的名称为EG，会作为pad_fuc_cfg信号的最高bit；
假设PAD有接收buff使能控制信号E（如Dolphin IO的接收buffer使能信号E），高有效； 那么顶层集成建议E=(~EG)|(~OE);OE：IO的输出使能控制信号，来自IOS的pad_fuc_oe，高有效;
当EG=0时，管脚的接收buff 始终为打开模式；
当EG=1时，管脚的接收buff 受OE的自动控制，OE为高（输出模式），关闭接收buff，反之，则打开；
当选择"否"时，不会增加该控制bit；
</t>
    <phoneticPr fontId="40" type="noConversion"/>
  </si>
  <si>
    <t>PCM(4)</t>
    <phoneticPr fontId="3" type="noConversion"/>
  </si>
  <si>
    <t>GPIO(6)</t>
    <phoneticPr fontId="3" type="noConversion"/>
  </si>
  <si>
    <t>HISI4D_RET</t>
    <phoneticPr fontId="3" type="noConversion"/>
  </si>
  <si>
    <t>SR</t>
    <phoneticPr fontId="3" type="noConversion"/>
  </si>
  <si>
    <t>6'h0</t>
  </si>
  <si>
    <t>6'h10</t>
    <phoneticPr fontId="3" type="noConversion"/>
  </si>
  <si>
    <t>6'h8</t>
    <phoneticPr fontId="3" type="noConversion"/>
  </si>
  <si>
    <t>6'h20</t>
    <phoneticPr fontId="3" type="noConversion"/>
  </si>
  <si>
    <t>SL</t>
    <phoneticPr fontId="3" type="noConversion"/>
  </si>
  <si>
    <t>ST</t>
    <phoneticPr fontId="3" type="noConversion"/>
  </si>
  <si>
    <t>描述PAD的复用功能是否经过IOS的STDCELL(MUX)处理；
此处有下拉菜单供设计者选择，不能为空。
MUX_D表示采用普通MUX；
MUX_C表示采用时钟MUX，一般复用功能含时钟信号应选用此种MUX，但面积会稍大些，信号质量好；
MUX_NA表示不使用MUX处理，通常对于模拟信号或确定不需要通过IOS的数字信号；</t>
    <phoneticPr fontId="40" type="noConversion"/>
  </si>
  <si>
    <r>
      <t>芯片集成IOS代码时分配的基地址，通常用于软件计算IOS内部寄存器的绝对地址；</t>
    </r>
    <r>
      <rPr>
        <sz val="12"/>
        <color rgb="FFFF0000"/>
        <rFont val="宋体"/>
        <family val="3"/>
        <charset val="134"/>
      </rPr>
      <t>绝对地址:abs_addr(IOS)=IOS基地址+ISO_(MF/AF/IOM)_CTRL基地址 +n*4'h4;其中IOS_MF_CTRL基地址为全0</t>
    </r>
    <r>
      <rPr>
        <sz val="12"/>
        <rFont val="宋体"/>
        <family val="3"/>
        <charset val="134"/>
      </rPr>
      <t>；</t>
    </r>
    <phoneticPr fontId="40" type="noConversion"/>
  </si>
  <si>
    <t>PMU(6)</t>
    <phoneticPr fontId="3" type="noConversion"/>
  </si>
  <si>
    <r>
      <t>P</t>
    </r>
    <r>
      <rPr>
        <sz val="12"/>
        <rFont val="宋体"/>
        <family val="3"/>
        <charset val="134"/>
      </rPr>
      <t>LLX4</t>
    </r>
    <phoneticPr fontId="3" type="noConversion"/>
  </si>
  <si>
    <t>GPIO(28)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</si>
  <si>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</si>
  <si>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r>
      <t>P</t>
    </r>
    <r>
      <rPr>
        <sz val="12"/>
        <rFont val="宋体"/>
        <family val="3"/>
        <charset val="134"/>
      </rPr>
      <t>3</t>
    </r>
    <phoneticPr fontId="3" type="noConversion"/>
  </si>
  <si>
    <r>
      <t>P</t>
    </r>
    <r>
      <rPr>
        <sz val="12"/>
        <rFont val="宋体"/>
        <family val="3"/>
        <charset val="134"/>
      </rPr>
      <t>2</t>
    </r>
    <phoneticPr fontId="3" type="noConversion"/>
  </si>
  <si>
    <t>1.8V</t>
    <phoneticPr fontId="3" type="noConversion"/>
  </si>
  <si>
    <t>P3</t>
    <phoneticPr fontId="3" type="noConversion"/>
  </si>
  <si>
    <t>GPIO(7)</t>
    <phoneticPr fontId="26" type="noConversion"/>
  </si>
  <si>
    <t>ANTPA_SEL[30:28]</t>
    <phoneticPr fontId="26" type="noConversion"/>
  </si>
  <si>
    <t>1.8V</t>
    <phoneticPr fontId="26" type="noConversion"/>
  </si>
  <si>
    <t>P3</t>
    <phoneticPr fontId="26" type="noConversion"/>
  </si>
  <si>
    <t>CH0_APT_PDM(1)</t>
    <phoneticPr fontId="3" type="noConversion"/>
  </si>
  <si>
    <t>WIFI共存（6）</t>
    <phoneticPr fontId="3" type="noConversion"/>
  </si>
  <si>
    <t>GPIO(6)</t>
    <phoneticPr fontId="3" type="noConversion"/>
  </si>
  <si>
    <t>USIM1</t>
    <phoneticPr fontId="3" type="noConversion"/>
  </si>
  <si>
    <t>GPIO(2)</t>
    <phoneticPr fontId="3" type="noConversion"/>
  </si>
  <si>
    <t>MMC1/19p2</t>
    <phoneticPr fontId="3" type="noConversion"/>
  </si>
  <si>
    <t>SDIO/SOC_MIPI</t>
    <phoneticPr fontId="3" type="noConversion"/>
  </si>
  <si>
    <r>
      <t>G</t>
    </r>
    <r>
      <rPr>
        <sz val="12"/>
        <rFont val="宋体"/>
        <family val="3"/>
        <charset val="134"/>
      </rPr>
      <t>PIO</t>
    </r>
    <phoneticPr fontId="3" type="noConversion"/>
  </si>
  <si>
    <t>CH0_RF(5)/ET_MODE</t>
    <phoneticPr fontId="3" type="noConversion"/>
  </si>
  <si>
    <t>PTM(9)/SPI(5)</t>
    <phoneticPr fontId="3" type="noConversion"/>
  </si>
  <si>
    <t>0x90010000</t>
    <phoneticPr fontId="3" type="noConversion"/>
  </si>
  <si>
    <t>0x90010000</t>
    <phoneticPr fontId="3" type="noConversion"/>
  </si>
  <si>
    <t>GPIO(19)</t>
    <phoneticPr fontId="3" type="noConversion"/>
  </si>
  <si>
    <t>8'h80</t>
    <phoneticPr fontId="3" type="noConversion"/>
  </si>
  <si>
    <t>8'h0</t>
    <phoneticPr fontId="3" type="noConversion"/>
  </si>
  <si>
    <t>8'h40</t>
    <phoneticPr fontId="3" type="noConversion"/>
  </si>
  <si>
    <t>8'h20</t>
    <phoneticPr fontId="3" type="noConversion"/>
  </si>
  <si>
    <t>TSMC_SD3P0</t>
    <phoneticPr fontId="3" type="noConversion"/>
  </si>
  <si>
    <t>AFC_PDM(2)</t>
    <phoneticPr fontId="3" type="noConversion"/>
  </si>
  <si>
    <t>GPIO(2)</t>
    <phoneticPr fontId="3" type="noConversion"/>
  </si>
  <si>
    <t>AFC_PDM(2)</t>
    <phoneticPr fontId="3" type="noConversion"/>
  </si>
  <si>
    <r>
      <t>1</t>
    </r>
    <r>
      <rPr>
        <sz val="12"/>
        <rFont val="宋体"/>
        <family val="3"/>
        <charset val="134"/>
      </rPr>
      <t>.9V</t>
    </r>
    <r>
      <rPr>
        <sz val="11"/>
        <color theme="1"/>
        <rFont val="宋体"/>
        <family val="2"/>
        <charset val="134"/>
        <scheme val="minor"/>
      </rPr>
      <t/>
    </r>
  </si>
  <si>
    <r>
      <t>5V/3.3V/0.9V/1.8V(</t>
    </r>
    <r>
      <rPr>
        <sz val="12"/>
        <rFont val="宋体"/>
        <family val="3"/>
        <charset val="134"/>
      </rPr>
      <t>ABB</t>
    </r>
    <r>
      <rPr>
        <sz val="12"/>
        <rFont val="宋体"/>
        <family val="3"/>
        <charset val="134"/>
      </rPr>
      <t>)</t>
    </r>
    <phoneticPr fontId="3" type="noConversion"/>
  </si>
  <si>
    <t>USB+ABB</t>
    <phoneticPr fontId="3" type="noConversion"/>
  </si>
  <si>
    <t>P3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</si>
  <si>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</si>
  <si>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ANTPA_SEL[30:28]</t>
    <phoneticPr fontId="3" type="noConversion"/>
  </si>
  <si>
    <r>
      <t>WIFI</t>
    </r>
    <r>
      <rPr>
        <sz val="10"/>
        <color indexed="8"/>
        <rFont val="宋体"/>
        <family val="3"/>
        <charset val="134"/>
      </rPr>
      <t>共存（</t>
    </r>
    <r>
      <rPr>
        <sz val="10"/>
        <color indexed="8"/>
        <rFont val="Arial"/>
        <family val="2"/>
      </rPr>
      <t>6</t>
    </r>
    <r>
      <rPr>
        <sz val="10"/>
        <color indexed="8"/>
        <rFont val="宋体"/>
        <family val="3"/>
        <charset val="134"/>
      </rPr>
      <t>）</t>
    </r>
    <phoneticPr fontId="3" type="noConversion"/>
  </si>
  <si>
    <t>CH0_APT_PDM(1)</t>
    <phoneticPr fontId="3" type="noConversion"/>
  </si>
  <si>
    <t>CH1_RF(5)/ET_MODE</t>
    <phoneticPr fontId="3" type="noConversion"/>
  </si>
  <si>
    <t>1.8V</t>
  </si>
  <si>
    <t>ANTPA_SEL(28)</t>
    <phoneticPr fontId="3" type="noConversion"/>
  </si>
  <si>
    <t>1.8V</t>
    <phoneticPr fontId="3" type="noConversion"/>
  </si>
  <si>
    <t>alwayson 31</t>
    <phoneticPr fontId="3" type="noConversion"/>
  </si>
  <si>
    <t>P3</t>
    <phoneticPr fontId="3" type="noConversion"/>
  </si>
  <si>
    <t>fuc_ctrlN_n:ios_m(a)f_ctrlX[x]:Dv</t>
    <phoneticPr fontId="40" type="noConversion"/>
  </si>
  <si>
    <r>
      <t>描述PAD的控制信息IOM（参见《代码生成》表单中 IO Foundry信息），是否受寄存器配置，此处只可填两种类型：
NA_CTRL表示PAD的控制信息固定接死或不可以通过寄存器配置；
IOM_CTRL(n)表示PAD的控制信息受该寄存器控制，结合n值与IOS_IOM_CTRL的基地址可推算出相关寄存器的绝对值:addr(IOM_CTRLn)=IOS_IOM_CTRL基地址+n*4'h4,(n=0,1…)；</t>
    </r>
    <r>
      <rPr>
        <sz val="12"/>
        <color rgb="FFFF0000"/>
        <rFont val="宋体"/>
        <family val="3"/>
        <charset val="134"/>
      </rPr>
      <t>寄存器的初值由管脚上电默认状态列信息决定</t>
    </r>
    <r>
      <rPr>
        <sz val="12"/>
        <rFont val="宋体"/>
        <family val="3"/>
        <charset val="134"/>
      </rPr>
      <t>，此处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</t>
    </r>
    <phoneticPr fontId="40" type="noConversion"/>
  </si>
  <si>
    <t>IOM_CTRL1</t>
  </si>
  <si>
    <t>IOM_CTRL2</t>
  </si>
  <si>
    <t>IOM_CTRL3</t>
  </si>
  <si>
    <t>IOM_CTRL4</t>
  </si>
  <si>
    <t>IOM_CTRL6</t>
  </si>
  <si>
    <t>HISI4D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</si>
  <si>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</si>
  <si>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</si>
  <si>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t>5'h8</t>
    <phoneticPr fontId="3" type="noConversion"/>
  </si>
  <si>
    <t>PU</t>
    <phoneticPr fontId="3" type="noConversion"/>
  </si>
  <si>
    <t>5'h4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</si>
  <si>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</si>
  <si>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IX</t>
    <phoneticPr fontId="3" type="noConversion"/>
  </si>
  <si>
    <t>5'h0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</si>
  <si>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</si>
  <si>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OZ</t>
    <phoneticPr fontId="3" type="noConversion"/>
  </si>
  <si>
    <t>OH</t>
    <phoneticPr fontId="3" type="noConversion"/>
  </si>
  <si>
    <t>5'h10</t>
    <phoneticPr fontId="3" type="noConversion"/>
  </si>
  <si>
    <t>OL</t>
    <phoneticPr fontId="3" type="noConversion"/>
  </si>
  <si>
    <t>PMU(13)</t>
    <phoneticPr fontId="3" type="noConversion"/>
  </si>
  <si>
    <t>gpio(5)</t>
    <phoneticPr fontId="3" type="noConversion"/>
  </si>
  <si>
    <r>
      <t>定义所使用PAD的接口配置属性；使用IOM_CTRL寄存器进行控制；目前每种PAD最多只支持6种属性；属性按表格由上往下排，中间不允许有空白；</t>
    </r>
    <r>
      <rPr>
        <sz val="12"/>
        <color rgb="FFFF0000"/>
        <rFont val="宋体"/>
        <family val="3"/>
        <charset val="134"/>
      </rPr>
      <t>属性OE只能作为IOM_CTRL的最高位，且只作为DO信号的输出使能，高有效，对其它的方向功能无影响；</t>
    </r>
    <phoneticPr fontId="40" type="noConversion"/>
  </si>
  <si>
    <t>定义使用PAD的厂商，若增加，可按上表形式进行增加；</t>
    <phoneticPr fontId="40" type="noConversion"/>
  </si>
  <si>
    <t>HISI4D_RET</t>
    <phoneticPr fontId="3" type="noConversion"/>
  </si>
  <si>
    <t>DVDD18_3</t>
  </si>
  <si>
    <t>DVDD18_4</t>
  </si>
  <si>
    <t>DVDD18_5</t>
  </si>
  <si>
    <t>1MHz</t>
  </si>
  <si>
    <t>24MHz</t>
  </si>
  <si>
    <t>19.2MHz</t>
  </si>
  <si>
    <t>注：黄色表示需要在封装上合并的</t>
    <phoneticPr fontId="5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</si>
  <si>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</si>
  <si>
    <t>CH0_AGND09_PLL</t>
  </si>
  <si>
    <t>CH0_AVDD13_TX</t>
  </si>
  <si>
    <t>DVDD18_1</t>
    <phoneticPr fontId="50" type="noConversion"/>
  </si>
  <si>
    <t>DVDD18_AO</t>
    <phoneticPr fontId="50" type="noConversion"/>
  </si>
  <si>
    <t>AVDD18_DDRDXPLL</t>
    <phoneticPr fontId="50" type="noConversion"/>
  </si>
  <si>
    <t>CH0_AGND18_RXA</t>
    <phoneticPr fontId="50" type="noConversion"/>
  </si>
  <si>
    <t>CH0_AGND18_RXB</t>
    <phoneticPr fontId="50" type="noConversion"/>
  </si>
  <si>
    <t>CH0_AGND18_TX</t>
    <phoneticPr fontId="50" type="noConversion"/>
  </si>
  <si>
    <t>CH0_DVDD09</t>
    <phoneticPr fontId="50" type="noConversion"/>
  </si>
  <si>
    <t>AVDD13</t>
    <phoneticPr fontId="50" type="noConversion"/>
  </si>
  <si>
    <t>EFUSE</t>
    <phoneticPr fontId="50" type="noConversion"/>
  </si>
  <si>
    <t>VDD_EFUSE</t>
    <phoneticPr fontId="50" type="noConversion"/>
  </si>
  <si>
    <t>TXCO</t>
    <phoneticPr fontId="50" type="noConversion"/>
  </si>
  <si>
    <t>AVDD18_TCXO</t>
    <phoneticPr fontId="50" type="noConversion"/>
  </si>
  <si>
    <t>AVSS_TCXO</t>
    <phoneticPr fontId="50" type="noConversion"/>
  </si>
  <si>
    <t>管脚上电默认状态</t>
    <phoneticPr fontId="3" type="noConversion"/>
  </si>
  <si>
    <t>1.8VD(P3)</t>
    <phoneticPr fontId="3" type="noConversion"/>
  </si>
  <si>
    <t>Voltage</t>
    <phoneticPr fontId="3" type="noConversion"/>
  </si>
  <si>
    <r>
      <t>PKG</t>
    </r>
    <r>
      <rPr>
        <sz val="12"/>
        <rFont val="宋体"/>
        <family val="3"/>
        <charset val="134"/>
      </rPr>
      <t>合封</t>
    </r>
    <phoneticPr fontId="3" type="noConversion"/>
  </si>
  <si>
    <t>Pillar</t>
    <phoneticPr fontId="3" type="noConversion"/>
  </si>
  <si>
    <t>MUX</t>
    <phoneticPr fontId="3" type="noConversion"/>
  </si>
  <si>
    <t>Pad Name</t>
    <phoneticPr fontId="3" type="noConversion"/>
  </si>
  <si>
    <t>IO Direct</t>
    <phoneticPr fontId="3" type="noConversion"/>
  </si>
  <si>
    <t>Freq. max</t>
    <phoneticPr fontId="3" type="noConversion"/>
  </si>
  <si>
    <t>IO Foundry</t>
    <phoneticPr fontId="3" type="noConversion"/>
  </si>
  <si>
    <t>IO TYPE</t>
    <phoneticPr fontId="3" type="noConversion"/>
  </si>
  <si>
    <t>Drive</t>
    <phoneticPr fontId="3" type="noConversion"/>
  </si>
  <si>
    <t>管脚配置寄存器</t>
    <phoneticPr fontId="3" type="noConversion"/>
  </si>
  <si>
    <t>芯片内部上拉下拉处理</t>
    <phoneticPr fontId="3" type="noConversion"/>
  </si>
  <si>
    <t xml:space="preserve"> Buffer name</t>
    <phoneticPr fontId="3" type="noConversion"/>
  </si>
  <si>
    <t xml:space="preserve">Main Function </t>
    <phoneticPr fontId="3" type="noConversion"/>
  </si>
  <si>
    <t>是否确认</t>
    <phoneticPr fontId="3" type="noConversion"/>
  </si>
  <si>
    <t>硬件确认人</t>
    <phoneticPr fontId="3" type="noConversion"/>
  </si>
  <si>
    <t>Sig name</t>
    <phoneticPr fontId="3" type="noConversion"/>
  </si>
  <si>
    <t>Direct</t>
    <phoneticPr fontId="3" type="noConversion"/>
  </si>
  <si>
    <t>IOS_CTRL</t>
    <phoneticPr fontId="3" type="noConversion"/>
  </si>
  <si>
    <t>Freq</t>
    <phoneticPr fontId="3" type="noConversion"/>
  </si>
  <si>
    <t xml:space="preserve"> description</t>
    <phoneticPr fontId="3" type="noConversion"/>
  </si>
  <si>
    <t>Description</t>
    <phoneticPr fontId="3" type="noConversion"/>
  </si>
  <si>
    <t>CLKIN_SLEEP</t>
  </si>
  <si>
    <t>32.768KHz</t>
    <phoneticPr fontId="3" type="noConversion"/>
  </si>
  <si>
    <t>HISI4D</t>
    <phoneticPr fontId="3" type="noConversion"/>
  </si>
  <si>
    <t>PDDUKW4DS_H_HI</t>
  </si>
  <si>
    <t>pull-up control</t>
  </si>
  <si>
    <t>PDDUKW4D_H_HI</t>
  </si>
  <si>
    <t>gpio0_0_ctrl1_1:ios_af_ctrl0[0]:D0</t>
  </si>
  <si>
    <t>gpio0[3]</t>
  </si>
  <si>
    <t>gpio0[5]</t>
  </si>
  <si>
    <t>宋占坤</t>
    <phoneticPr fontId="3" type="noConversion"/>
  </si>
  <si>
    <t>IOM_CTRL15</t>
  </si>
  <si>
    <t>122.88MHz</t>
  </si>
  <si>
    <t>王少华</t>
    <phoneticPr fontId="3" type="noConversion"/>
  </si>
  <si>
    <t>HISI4D</t>
  </si>
  <si>
    <t>双向（开漏输出），唤醒信号。</t>
  </si>
  <si>
    <t>合封</t>
    <phoneticPr fontId="3" type="noConversion"/>
  </si>
  <si>
    <t>信号数量统计</t>
    <phoneticPr fontId="3" type="noConversion"/>
  </si>
  <si>
    <t>12'hE00</t>
    <phoneticPr fontId="3" type="noConversion"/>
  </si>
  <si>
    <t>12'hD00</t>
    <phoneticPr fontId="3" type="noConversion"/>
  </si>
  <si>
    <t>IOS_MF_CTRL基地址</t>
    <phoneticPr fontId="3" type="noConversion"/>
  </si>
  <si>
    <t>12'hC00</t>
    <phoneticPr fontId="3" type="noConversion"/>
  </si>
  <si>
    <t>NA_CTRL</t>
    <phoneticPr fontId="3" type="noConversion"/>
  </si>
  <si>
    <t>no_ctrl</t>
    <phoneticPr fontId="3" type="noConversion"/>
  </si>
  <si>
    <t>32.768KHz</t>
    <phoneticPr fontId="3" type="noConversion"/>
  </si>
  <si>
    <r>
      <t>PMU</t>
    </r>
    <r>
      <rPr>
        <sz val="10"/>
        <rFont val="宋体"/>
        <family val="3"/>
        <charset val="134"/>
      </rPr>
      <t>接口信号</t>
    </r>
    <r>
      <rPr>
        <sz val="10"/>
        <rFont val="Arial"/>
        <family val="2"/>
      </rPr>
      <t>32.768KHz</t>
    </r>
    <r>
      <rPr>
        <sz val="10"/>
        <rFont val="宋体"/>
        <family val="3"/>
        <charset val="134"/>
      </rPr>
      <t>睡眠数字时钟输入</t>
    </r>
    <phoneticPr fontId="3" type="noConversion"/>
  </si>
  <si>
    <t>确认</t>
    <phoneticPr fontId="3" type="noConversion"/>
  </si>
  <si>
    <t>宋占坤</t>
    <phoneticPr fontId="3" type="noConversion"/>
  </si>
  <si>
    <t>1.8VD(P3)</t>
    <phoneticPr fontId="3" type="noConversion"/>
  </si>
  <si>
    <t>RSTIN_N</t>
    <phoneticPr fontId="3" type="noConversion"/>
  </si>
  <si>
    <t>HISI4D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</si>
  <si>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提供给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的复位信号</t>
    </r>
    <phoneticPr fontId="3" type="noConversion"/>
  </si>
  <si>
    <t>RSTOUT_N</t>
    <phoneticPr fontId="3" type="noConversion"/>
  </si>
  <si>
    <t>IOM_CTRL0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</si>
  <si>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提供给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的复位信号，用于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复位自身</t>
    </r>
    <r>
      <rPr>
        <sz val="10"/>
        <rFont val="Arial"/>
        <family val="2"/>
      </rPr>
      <t>,open drain</t>
    </r>
    <r>
      <rPr>
        <sz val="10"/>
        <rFont val="宋体"/>
        <family val="3"/>
        <charset val="134"/>
      </rPr>
      <t>输出</t>
    </r>
    <phoneticPr fontId="3" type="noConversion"/>
  </si>
  <si>
    <t>PMU_IRQ_N</t>
    <phoneticPr fontId="3" type="noConversion"/>
  </si>
  <si>
    <t>24MHz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</si>
  <si>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中断信号</t>
    </r>
    <phoneticPr fontId="3" type="noConversion"/>
  </si>
  <si>
    <t>PMU_SSI</t>
    <phoneticPr fontId="50" type="noConversion"/>
  </si>
  <si>
    <t>122.88MHz</t>
    <phoneticPr fontId="3" type="noConversion"/>
  </si>
  <si>
    <t>PMU_HKADC_SSI</t>
    <phoneticPr fontId="50" type="noConversion"/>
  </si>
  <si>
    <t>PMU_AUXDAC0_SSI</t>
    <phoneticPr fontId="50" type="noConversion"/>
  </si>
  <si>
    <t>CH0_TCXO_EN</t>
    <phoneticPr fontId="3" type="noConversion"/>
  </si>
  <si>
    <r>
      <t>PMU</t>
    </r>
    <r>
      <rPr>
        <sz val="10"/>
        <rFont val="宋体"/>
        <family val="3"/>
        <charset val="134"/>
      </rPr>
      <t>接口信号，用于使能</t>
    </r>
    <r>
      <rPr>
        <sz val="10"/>
        <rFont val="Arial"/>
        <family val="2"/>
      </rPr>
      <t>CH0 TCXO</t>
    </r>
    <r>
      <rPr>
        <sz val="10"/>
        <rFont val="宋体"/>
        <family val="3"/>
        <charset val="134"/>
      </rPr>
      <t>的供电</t>
    </r>
    <phoneticPr fontId="3" type="noConversion"/>
  </si>
  <si>
    <t>PERI_EN</t>
    <phoneticPr fontId="3" type="noConversion"/>
  </si>
  <si>
    <t>PMU接口信号，用于使能BB芯片0.9V供电</t>
    <phoneticPr fontId="3" type="noConversion"/>
  </si>
  <si>
    <r>
      <t>PMU</t>
    </r>
    <r>
      <rPr>
        <sz val="10"/>
        <rFont val="宋体"/>
        <family val="3"/>
        <charset val="134"/>
      </rPr>
      <t>接口信号，当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上电后，需要在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秒之内，由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将该引脚置高来通知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保持上电，否则，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会自动下电</t>
    </r>
    <phoneticPr fontId="3" type="noConversion"/>
  </si>
  <si>
    <t>USIM0（3个pin）</t>
    <phoneticPr fontId="3" type="noConversion"/>
  </si>
  <si>
    <t>Y</t>
    <phoneticPr fontId="3" type="noConversion"/>
  </si>
  <si>
    <t>MUX_C</t>
    <phoneticPr fontId="3" type="noConversion"/>
  </si>
  <si>
    <t>USIM0_CLK</t>
    <phoneticPr fontId="3" type="noConversion"/>
  </si>
  <si>
    <t>pull-up/down control</t>
    <phoneticPr fontId="3" type="noConversion"/>
  </si>
  <si>
    <t>usim0_clk</t>
    <phoneticPr fontId="3" type="noConversion"/>
  </si>
  <si>
    <t>12MHz</t>
    <phoneticPr fontId="3" type="noConversion"/>
  </si>
  <si>
    <r>
      <t>SIM卡0的时钟输出信号，输出模式可选Open drain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CMOS</t>
    </r>
    <phoneticPr fontId="3" type="noConversion"/>
  </si>
  <si>
    <t>B</t>
    <phoneticPr fontId="3" type="noConversion"/>
  </si>
  <si>
    <t>MUX_D</t>
    <phoneticPr fontId="3" type="noConversion"/>
  </si>
  <si>
    <t>USIM0_RST</t>
    <phoneticPr fontId="3" type="noConversion"/>
  </si>
  <si>
    <t>usim0_rst</t>
    <phoneticPr fontId="3" type="noConversion"/>
  </si>
  <si>
    <t>DO</t>
    <phoneticPr fontId="3" type="noConversion"/>
  </si>
  <si>
    <t>SIM卡0的复位信号</t>
    <phoneticPr fontId="3" type="noConversion"/>
  </si>
  <si>
    <t>USIM0_DATA</t>
    <phoneticPr fontId="3" type="noConversion"/>
  </si>
  <si>
    <r>
      <t>SIM卡0的数据信号，输出模式可选Open drain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CMOS</t>
    </r>
    <phoneticPr fontId="3" type="noConversion"/>
  </si>
  <si>
    <t>UART0（2个pin）</t>
    <phoneticPr fontId="3" type="noConversion"/>
  </si>
  <si>
    <t>UART0_TXD</t>
    <phoneticPr fontId="3" type="noConversion"/>
  </si>
  <si>
    <t>1MHz</t>
    <phoneticPr fontId="3" type="noConversion"/>
  </si>
  <si>
    <r>
      <t>UART0</t>
    </r>
    <r>
      <rPr>
        <sz val="10"/>
        <rFont val="宋体"/>
        <family val="3"/>
        <charset val="134"/>
      </rPr>
      <t>的串行输出信号</t>
    </r>
    <phoneticPr fontId="3" type="noConversion"/>
  </si>
  <si>
    <t>UART0_RXD</t>
    <phoneticPr fontId="3" type="noConversion"/>
  </si>
  <si>
    <r>
      <t>UART0</t>
    </r>
    <r>
      <rPr>
        <sz val="10"/>
        <rFont val="宋体"/>
        <family val="3"/>
        <charset val="134"/>
      </rPr>
      <t>的串行输入信号</t>
    </r>
    <phoneticPr fontId="3" type="noConversion"/>
  </si>
  <si>
    <t>1MHz</t>
    <phoneticPr fontId="3" type="noConversion"/>
  </si>
  <si>
    <t>确认</t>
    <phoneticPr fontId="3" type="noConversion"/>
  </si>
  <si>
    <t>JTAG_DFM_MODE(1个pin）</t>
    <phoneticPr fontId="3" type="noConversion"/>
  </si>
  <si>
    <t>JTAG_DFT_MODE</t>
    <phoneticPr fontId="3" type="noConversion"/>
  </si>
  <si>
    <t>JTAG DFT模式选择开关。1：JTAG0 扫描BSD；0：JTAG0按照JTAG 模式开关配置扫描SOC 组件</t>
    <phoneticPr fontId="3" type="noConversion"/>
  </si>
  <si>
    <t>Alternative function (3)</t>
    <phoneticPr fontId="3" type="noConversion"/>
  </si>
  <si>
    <t>480MHz</t>
    <phoneticPr fontId="3" type="noConversion"/>
  </si>
  <si>
    <t>SYNOPSYS</t>
    <phoneticPr fontId="3" type="noConversion"/>
  </si>
  <si>
    <t>NA_CTRL</t>
  </si>
  <si>
    <t>comment</t>
    <phoneticPr fontId="3" type="noConversion"/>
  </si>
  <si>
    <t>gpio0[0]</t>
    <phoneticPr fontId="3" type="noConversion"/>
  </si>
  <si>
    <t>gpio0[4]</t>
  </si>
  <si>
    <t>IOM_CTRL8</t>
  </si>
  <si>
    <t>IOM_CTRL9</t>
    <phoneticPr fontId="3" type="noConversion"/>
  </si>
  <si>
    <t>IOM_CTRL11</t>
  </si>
  <si>
    <t>IOM_CTRL12</t>
    <phoneticPr fontId="3" type="noConversion"/>
  </si>
  <si>
    <t>IOM_CTRL17</t>
  </si>
  <si>
    <t>5V</t>
    <phoneticPr fontId="3" type="noConversion"/>
  </si>
  <si>
    <t>MUX_NA</t>
    <phoneticPr fontId="3" type="noConversion"/>
  </si>
  <si>
    <t>USB20_VBUS</t>
    <phoneticPr fontId="3" type="noConversion"/>
  </si>
  <si>
    <t>USB2</t>
    <phoneticPr fontId="3" type="noConversion"/>
  </si>
  <si>
    <r>
      <t>USB PHY</t>
    </r>
    <r>
      <rPr>
        <sz val="10"/>
        <rFont val="宋体"/>
        <family val="3"/>
        <charset val="134"/>
      </rPr>
      <t>自带</t>
    </r>
    <phoneticPr fontId="3" type="noConversion"/>
  </si>
  <si>
    <t xml:space="preserve">USB 5V Power Supply </t>
    <phoneticPr fontId="3" type="noConversion"/>
  </si>
  <si>
    <t>USB20_ID</t>
    <phoneticPr fontId="3" type="noConversion"/>
  </si>
  <si>
    <t>USB Mini-Receptacle Identifier</t>
    <phoneticPr fontId="3" type="noConversion"/>
  </si>
  <si>
    <t>3.3V</t>
    <phoneticPr fontId="3" type="noConversion"/>
  </si>
  <si>
    <t>USB20_DP</t>
    <phoneticPr fontId="3" type="noConversion"/>
  </si>
  <si>
    <t>USB D+ Signal</t>
    <phoneticPr fontId="3" type="noConversion"/>
  </si>
  <si>
    <t>USB20_DM</t>
    <phoneticPr fontId="3" type="noConversion"/>
  </si>
  <si>
    <t>USB D- Signal</t>
    <phoneticPr fontId="3" type="noConversion"/>
  </si>
  <si>
    <t>USB20_TXRTUNE</t>
    <phoneticPr fontId="3" type="noConversion"/>
  </si>
  <si>
    <t>Transmitter Register Tune Pin</t>
    <phoneticPr fontId="3" type="noConversion"/>
  </si>
  <si>
    <t>test_usb[0]</t>
  </si>
  <si>
    <t>test_usb[1]</t>
  </si>
  <si>
    <t>test_usb[2]</t>
  </si>
  <si>
    <t>test_usb[3]</t>
  </si>
  <si>
    <t>test_usb[4]</t>
  </si>
  <si>
    <t>test_usb[5]</t>
  </si>
  <si>
    <t>test_usb[6]</t>
  </si>
  <si>
    <t>IOM_CTRL14</t>
    <phoneticPr fontId="3" type="noConversion"/>
  </si>
  <si>
    <t>gpio0[1]</t>
    <phoneticPr fontId="3" type="noConversion"/>
  </si>
  <si>
    <t>gpio0[2]</t>
    <phoneticPr fontId="3" type="noConversion"/>
  </si>
  <si>
    <t>uart0_ctrl1_1:ios_mf_ctrl0[0]:D0</t>
  </si>
  <si>
    <t>gpio0_2_ctrl1_1:ios_mf_ctrl1[0]:D0</t>
  </si>
  <si>
    <t>gpio0_3_ctrl1_1:ios_mf_ctrl1[1]:D0</t>
  </si>
  <si>
    <t>gpio0_4_ctrl1_1:ios_mf_ctrl1[2]:D0</t>
  </si>
  <si>
    <t>gpio0_5_ctrl1_1:ios_mf_ctrl1[3]:D0</t>
  </si>
  <si>
    <t>gpio0_1_ctrl1_1:ios_af_ctrl0[1]:D0</t>
  </si>
  <si>
    <t>tst_usb_0_ctrl1_1:ios_af_ctrl5[0]:D0</t>
  </si>
  <si>
    <t>tst_usb_1_ctrl1_1:ios_af_ctrl5[1]:D0</t>
  </si>
  <si>
    <t>tst_usb_2_ctrl1_1:ios_af_ctrl5[2]:D0</t>
  </si>
  <si>
    <t>tst_usb_3_ctrl1_1:ios_af_ctrl5[3]:D0</t>
  </si>
  <si>
    <t>tst_usb_4_ctrl1_1:ios_af_ctrl5[4]:D0</t>
  </si>
  <si>
    <t>tst_usb_5_ctrl1_1:ios_af_ctrl5[5]:D0</t>
  </si>
  <si>
    <t>pcie_wake_n</t>
  </si>
  <si>
    <t>GPIO_0_02</t>
    <phoneticPr fontId="3" type="noConversion"/>
  </si>
  <si>
    <t>GPIO_0_03</t>
  </si>
  <si>
    <t>GPIO_0_04</t>
  </si>
  <si>
    <t>GPIO_0_05</t>
  </si>
  <si>
    <t>pcie_wake_ctrl1_1:ios_af_ctrl1[0]:D0</t>
    <phoneticPr fontId="3" type="noConversion"/>
  </si>
  <si>
    <t>tst_usb_6_ctrl1_1:ios_af_ctrl5[6]:D0</t>
    <phoneticPr fontId="3" type="noConversion"/>
  </si>
  <si>
    <t>usim0_data</t>
    <phoneticPr fontId="3" type="noConversion"/>
  </si>
  <si>
    <t>usim0_ctrl1_1:ios_mf_ctrl2[0]:D0</t>
    <phoneticPr fontId="3" type="noConversion"/>
  </si>
  <si>
    <t>GPIO(4个pin）</t>
    <phoneticPr fontId="3" type="noConversion"/>
  </si>
  <si>
    <t>1、RSTOUT_N的方向修改回OD
2、PIN数目更新</t>
    <phoneticPr fontId="3" type="noConversion"/>
  </si>
  <si>
    <t>王润泽/00126104</t>
    <phoneticPr fontId="3" type="noConversion"/>
  </si>
  <si>
    <r>
      <t>PKG</t>
    </r>
    <r>
      <rPr>
        <sz val="12"/>
        <rFont val="宋体"/>
        <family val="3"/>
        <charset val="134"/>
      </rPr>
      <t>单封</t>
    </r>
    <phoneticPr fontId="3" type="noConversion"/>
  </si>
  <si>
    <t>单封</t>
    <phoneticPr fontId="3" type="noConversion"/>
  </si>
  <si>
    <r>
      <t>p</t>
    </r>
    <r>
      <rPr>
        <sz val="12"/>
        <rFont val="宋体"/>
        <family val="3"/>
        <charset val="134"/>
      </rPr>
      <t>illar</t>
    </r>
    <phoneticPr fontId="3" type="noConversion"/>
  </si>
  <si>
    <r>
      <t>数字G</t>
    </r>
    <r>
      <rPr>
        <sz val="12"/>
        <rFont val="宋体"/>
        <family val="3"/>
        <charset val="134"/>
      </rPr>
      <t>PIO</t>
    </r>
    <phoneticPr fontId="3" type="noConversion"/>
  </si>
  <si>
    <r>
      <t>模拟I</t>
    </r>
    <r>
      <rPr>
        <sz val="12"/>
        <rFont val="宋体"/>
        <family val="3"/>
        <charset val="134"/>
      </rPr>
      <t>O</t>
    </r>
    <phoneticPr fontId="3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</si>
  <si>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50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</si>
  <si>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50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</si>
  <si>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50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</si>
  <si>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50" type="noConversion"/>
  </si>
  <si>
    <r>
      <t>Ball</t>
    </r>
    <r>
      <rPr>
        <b/>
        <sz val="12"/>
        <rFont val="宋体"/>
        <family val="3"/>
        <charset val="134"/>
      </rPr>
      <t>名</t>
    </r>
    <phoneticPr fontId="50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</si>
  <si>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50" type="noConversion"/>
  </si>
  <si>
    <r>
      <rPr>
        <b/>
        <sz val="12"/>
        <rFont val="宋体"/>
        <family val="3"/>
        <charset val="134"/>
      </rPr>
      <t>备注</t>
    </r>
    <phoneticPr fontId="50" type="noConversion"/>
  </si>
  <si>
    <r>
      <t>Alwayson Core</t>
    </r>
    <r>
      <rPr>
        <sz val="12"/>
        <rFont val="宋体"/>
        <family val="3"/>
        <charset val="134"/>
      </rPr>
      <t>电源</t>
    </r>
    <phoneticPr fontId="50" type="noConversion"/>
  </si>
  <si>
    <t>VDD</t>
    <phoneticPr fontId="50" type="noConversion"/>
  </si>
  <si>
    <r>
      <t>Peri Core</t>
    </r>
    <r>
      <rPr>
        <sz val="12"/>
        <rFont val="宋体"/>
        <family val="3"/>
        <charset val="134"/>
      </rPr>
      <t>电源</t>
    </r>
    <phoneticPr fontId="50" type="noConversion"/>
  </si>
  <si>
    <t>VDD_PERI</t>
    <phoneticPr fontId="50" type="noConversion"/>
  </si>
  <si>
    <r>
      <rPr>
        <sz val="12"/>
        <rFont val="宋体"/>
        <family val="3"/>
        <charset val="134"/>
      </rPr>
      <t>数字地</t>
    </r>
    <phoneticPr fontId="50" type="noConversion"/>
  </si>
  <si>
    <t>VSS</t>
    <phoneticPr fontId="50" type="noConversion"/>
  </si>
  <si>
    <r>
      <t>1.8V IO</t>
    </r>
    <r>
      <rPr>
        <sz val="12"/>
        <rFont val="宋体"/>
        <family val="3"/>
        <charset val="134"/>
      </rPr>
      <t>电源</t>
    </r>
    <phoneticPr fontId="50" type="noConversion"/>
  </si>
  <si>
    <t>DVDD18</t>
    <phoneticPr fontId="50" type="noConversion"/>
  </si>
  <si>
    <t>DVDD18_2</t>
    <phoneticPr fontId="50" type="noConversion"/>
  </si>
  <si>
    <t>VDD18_MMC0</t>
    <phoneticPr fontId="50" type="noConversion"/>
  </si>
  <si>
    <t>DVDD18_6</t>
    <phoneticPr fontId="50" type="noConversion"/>
  </si>
  <si>
    <t>MMC1</t>
  </si>
  <si>
    <t>1.5/0</t>
    <phoneticPr fontId="50" type="noConversion"/>
  </si>
  <si>
    <t>VDDM_MMC1</t>
  </si>
  <si>
    <t>VDD18_MMC1</t>
  </si>
  <si>
    <t>3.0/1.8</t>
    <phoneticPr fontId="50" type="noConversion"/>
  </si>
  <si>
    <t>VDD33_MMC1</t>
  </si>
  <si>
    <t>DDR</t>
    <phoneticPr fontId="50" type="noConversion"/>
  </si>
  <si>
    <t>VDDQ_DDR</t>
    <phoneticPr fontId="5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</si>
  <si>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50" type="noConversion"/>
  </si>
  <si>
    <t>VSSQ_DDR</t>
    <phoneticPr fontId="50" type="noConversion"/>
  </si>
  <si>
    <t>VDDQCA_DDR</t>
    <phoneticPr fontId="50" type="noConversion"/>
  </si>
  <si>
    <t>VSSQCA_DDR</t>
    <phoneticPr fontId="50" type="noConversion"/>
  </si>
  <si>
    <t>AVDD18_DDRCAPLL</t>
    <phoneticPr fontId="50" type="noConversion"/>
  </si>
  <si>
    <t>AVDD18_DDRPLL_1/2</t>
    <phoneticPr fontId="50" type="noConversion"/>
  </si>
  <si>
    <t>DDR_VREF0</t>
    <phoneticPr fontId="50" type="noConversion"/>
  </si>
  <si>
    <t>DDR_VREF_ZQ</t>
    <phoneticPr fontId="50" type="noConversion"/>
  </si>
  <si>
    <t>DDR_VREF1</t>
    <phoneticPr fontId="50" type="noConversion"/>
  </si>
  <si>
    <t>DDR_VREF_1/2</t>
    <phoneticPr fontId="50" type="noConversion"/>
  </si>
  <si>
    <t>VDD2</t>
    <phoneticPr fontId="50" type="noConversion"/>
  </si>
  <si>
    <t>VDD_M</t>
    <phoneticPr fontId="50" type="noConversion"/>
  </si>
  <si>
    <t>VDD1</t>
    <phoneticPr fontId="50" type="noConversion"/>
  </si>
  <si>
    <t>VREFCA</t>
    <phoneticPr fontId="50" type="noConversion"/>
  </si>
  <si>
    <t>VREFDQ</t>
    <phoneticPr fontId="50" type="noConversion"/>
  </si>
  <si>
    <t>DDR_VREF_1</t>
    <phoneticPr fontId="50" type="noConversion"/>
  </si>
  <si>
    <t>VSSQ</t>
    <phoneticPr fontId="50" type="noConversion"/>
  </si>
  <si>
    <t>VDDQ</t>
    <phoneticPr fontId="50" type="noConversion"/>
  </si>
  <si>
    <t>ABB</t>
    <phoneticPr fontId="50" type="noConversion"/>
  </si>
  <si>
    <t>AVDD18_ET</t>
    <phoneticPr fontId="50" type="noConversion"/>
  </si>
  <si>
    <t>AVDD18</t>
    <phoneticPr fontId="50" type="noConversion"/>
  </si>
  <si>
    <t>AVSS_ABB</t>
    <phoneticPr fontId="50" type="noConversion"/>
  </si>
  <si>
    <t>AGND</t>
    <phoneticPr fontId="50" type="noConversion"/>
  </si>
  <si>
    <t>CH0_AGND13_TX</t>
    <phoneticPr fontId="50" type="noConversion"/>
  </si>
  <si>
    <t>CH0_AGND18_PLL</t>
    <phoneticPr fontId="50" type="noConversion"/>
  </si>
  <si>
    <t>CH0_AVDD09_PLL</t>
    <phoneticPr fontId="50" type="noConversion"/>
  </si>
  <si>
    <t>CH0_AVDD18_PLL</t>
    <phoneticPr fontId="50" type="noConversion"/>
  </si>
  <si>
    <t>CH0_AVDD18_RXA</t>
    <phoneticPr fontId="50" type="noConversion"/>
  </si>
  <si>
    <t>CH0_AVDD18_RXB</t>
    <phoneticPr fontId="50" type="noConversion"/>
  </si>
  <si>
    <t>CH0_AVDD18_TX</t>
    <phoneticPr fontId="50" type="noConversion"/>
  </si>
  <si>
    <t>CH0_DGND09_RX</t>
    <phoneticPr fontId="50" type="noConversion"/>
  </si>
  <si>
    <t>CH0_DGND09_TX</t>
    <phoneticPr fontId="50" type="noConversion"/>
  </si>
  <si>
    <t>CH0_DVDD09_RX</t>
    <phoneticPr fontId="50" type="noConversion"/>
  </si>
  <si>
    <t>CH0_DVDD09_TX</t>
    <phoneticPr fontId="50" type="noConversion"/>
  </si>
  <si>
    <t>USB2.0</t>
    <phoneticPr fontId="50" type="noConversion"/>
  </si>
  <si>
    <t>DVDD_USB</t>
    <phoneticPr fontId="50" type="noConversion"/>
  </si>
  <si>
    <r>
      <t>0.9V</t>
    </r>
    <r>
      <rPr>
        <sz val="12"/>
        <rFont val="宋体"/>
        <family val="3"/>
        <charset val="134"/>
      </rPr>
      <t>的三个电源可以在板上合并。</t>
    </r>
    <phoneticPr fontId="50" type="noConversion"/>
  </si>
  <si>
    <t>VP_USB</t>
    <phoneticPr fontId="50" type="noConversion"/>
  </si>
  <si>
    <t>VPTX0_USB</t>
    <phoneticPr fontId="50" type="noConversion"/>
  </si>
  <si>
    <t>VDD330_USB</t>
    <phoneticPr fontId="50" type="noConversion"/>
  </si>
  <si>
    <t>VDD33_USB</t>
    <phoneticPr fontId="50" type="noConversion"/>
  </si>
  <si>
    <t>VPH_USB</t>
    <phoneticPr fontId="50" type="noConversion"/>
  </si>
  <si>
    <t>GD_USB</t>
    <phoneticPr fontId="50" type="noConversion"/>
  </si>
  <si>
    <t>VSSA0_USB</t>
    <phoneticPr fontId="50" type="noConversion"/>
  </si>
  <si>
    <t>PCIE</t>
    <phoneticPr fontId="50" type="noConversion"/>
  </si>
  <si>
    <t>VP_PCIE</t>
    <phoneticPr fontId="50" type="noConversion"/>
  </si>
  <si>
    <t>VP09_PCIE</t>
    <phoneticPr fontId="50" type="noConversion"/>
  </si>
  <si>
    <t>VPTX0_PCIE</t>
    <phoneticPr fontId="50" type="noConversion"/>
  </si>
  <si>
    <t>VPTX09_PCIE</t>
    <phoneticPr fontId="50" type="noConversion"/>
  </si>
  <si>
    <t>VPH_PCIE</t>
    <phoneticPr fontId="50" type="noConversion"/>
  </si>
  <si>
    <t>VP18_PCIE</t>
    <phoneticPr fontId="50" type="noConversion"/>
  </si>
  <si>
    <t>GD_PCIE</t>
    <phoneticPr fontId="50" type="noConversion"/>
  </si>
  <si>
    <t>HSIC</t>
    <phoneticPr fontId="50" type="noConversion"/>
  </si>
  <si>
    <t>VDD12_HSIC</t>
    <phoneticPr fontId="50" type="noConversion"/>
  </si>
  <si>
    <t>VSS12_HSIC</t>
    <phoneticPr fontId="50" type="noConversion"/>
  </si>
  <si>
    <t>PLL</t>
    <phoneticPr fontId="50" type="noConversion"/>
  </si>
  <si>
    <t>AVDDH_PLL</t>
    <phoneticPr fontId="50" type="noConversion"/>
  </si>
  <si>
    <t>AVDDL_PLL</t>
    <phoneticPr fontId="50" type="noConversion"/>
  </si>
  <si>
    <t>AVSS_PLL</t>
    <phoneticPr fontId="50" type="noConversion"/>
  </si>
  <si>
    <t>PLL_BBP</t>
    <phoneticPr fontId="50" type="noConversion"/>
  </si>
  <si>
    <t>AVDDH_PLL_BBP</t>
    <phoneticPr fontId="50" type="noConversion"/>
  </si>
  <si>
    <t>AVDDH_BBPPLL</t>
    <phoneticPr fontId="50" type="noConversion"/>
  </si>
  <si>
    <t>AVDDL_PLL_BBP</t>
    <phoneticPr fontId="50" type="noConversion"/>
  </si>
  <si>
    <t>AVDDL_BBPPLL</t>
    <phoneticPr fontId="50" type="noConversion"/>
  </si>
  <si>
    <t>AVSS_PLL_BBP</t>
    <phoneticPr fontId="50" type="noConversion"/>
  </si>
  <si>
    <t>AVSS_BBPPLL</t>
    <phoneticPr fontId="50" type="noConversion"/>
  </si>
  <si>
    <t>Tsensor</t>
    <phoneticPr fontId="50" type="noConversion"/>
  </si>
  <si>
    <t>AVDD18_TS</t>
    <phoneticPr fontId="50" type="noConversion"/>
  </si>
  <si>
    <t>AVSS_TS</t>
    <phoneticPr fontId="50" type="noConversion"/>
  </si>
  <si>
    <t>MMC1</t>
    <phoneticPr fontId="50" type="noConversion"/>
  </si>
  <si>
    <t>PMU(10个pin)</t>
    <phoneticPr fontId="3" type="noConversion"/>
  </si>
  <si>
    <t>1、供电描述更新
2、PIN数目更新
3、增加PKG单封</t>
    <phoneticPr fontId="3" type="noConversion"/>
  </si>
  <si>
    <t>1、修改USIM0_DATA默认状态为OL</t>
    <phoneticPr fontId="3" type="noConversion"/>
  </si>
  <si>
    <t>uart0_ctrl1_1:ios_mf_ctrl0[0]:D0</t>
    <phoneticPr fontId="3" type="noConversion"/>
  </si>
  <si>
    <t>pmu_hold_ctrl1_1:ios_mf_ctrl0[1]:D0</t>
    <phoneticPr fontId="3" type="noConversion"/>
  </si>
  <si>
    <t>1、pmu_hold增加寄存器ios_mf_ctrl0[1]进行选通控制；将gpio0[0]复用到pmu_hold上</t>
    <phoneticPr fontId="3" type="noConversion"/>
  </si>
  <si>
    <t>复用功能选择</t>
    <phoneticPr fontId="3" type="noConversion"/>
  </si>
  <si>
    <t>内部上下拉选择</t>
    <phoneticPr fontId="3" type="noConversion"/>
  </si>
  <si>
    <t>驱动能力选择</t>
    <phoneticPr fontId="3" type="noConversion"/>
  </si>
  <si>
    <t>是否使用</t>
    <phoneticPr fontId="3" type="noConversion"/>
  </si>
  <si>
    <t>是否生成</t>
    <phoneticPr fontId="3" type="noConversion"/>
  </si>
  <si>
    <t>根据硬件设计选填，自动生成IO Share底软初始化代码</t>
    <phoneticPr fontId="3" type="noConversion"/>
  </si>
  <si>
    <t>default</t>
  </si>
  <si>
    <t>Yes</t>
  </si>
  <si>
    <t>clkin_sleep</t>
  </si>
  <si>
    <t>rstin_n</t>
  </si>
  <si>
    <t>rstout_n</t>
  </si>
  <si>
    <t>pmu_irq_n</t>
  </si>
  <si>
    <t>pmu_ssi</t>
  </si>
  <si>
    <t>pmu_hkadc_ssi</t>
  </si>
  <si>
    <t>pmu_auxdac0_ssi</t>
  </si>
  <si>
    <t>ch0_tcxo_en</t>
  </si>
  <si>
    <t>peri_en</t>
  </si>
  <si>
    <t>pmu_hold</t>
  </si>
  <si>
    <t>uart0_txd</t>
  </si>
  <si>
    <t>uart0_rxd</t>
  </si>
  <si>
    <t>jtag_dft_mode</t>
  </si>
  <si>
    <t>usb20_vbus</t>
  </si>
  <si>
    <t>usb20_id</t>
  </si>
  <si>
    <t>usb20_dp</t>
  </si>
  <si>
    <t>usb20_dm</t>
  </si>
  <si>
    <t>usb20_txrtune</t>
  </si>
  <si>
    <t>usim0_clk</t>
    <phoneticPr fontId="3" type="noConversion"/>
  </si>
  <si>
    <t>usim0_rst</t>
    <phoneticPr fontId="3" type="noConversion"/>
  </si>
  <si>
    <t>usim0_data</t>
    <phoneticPr fontId="3" type="noConversion"/>
  </si>
  <si>
    <t>gpio0[2]</t>
    <phoneticPr fontId="3" type="noConversion"/>
  </si>
  <si>
    <t>default</t>
    <phoneticPr fontId="3" type="noConversion"/>
  </si>
  <si>
    <t>PMU_HOLD</t>
    <phoneticPr fontId="3" type="noConversion"/>
  </si>
  <si>
    <t>default</t>
    <phoneticPr fontId="3" type="noConversion"/>
  </si>
  <si>
    <t>default</t>
    <phoneticPr fontId="3" type="noConversion"/>
  </si>
  <si>
    <t>USB(5个pin）</t>
    <phoneticPr fontId="3" type="noConversion"/>
  </si>
  <si>
    <t>default</t>
    <phoneticPr fontId="3" type="noConversion"/>
  </si>
  <si>
    <t>default</t>
    <phoneticPr fontId="3" type="noConversion"/>
  </si>
  <si>
    <t>请输入产品名称：</t>
    <phoneticPr fontId="3" type="noConversion"/>
  </si>
  <si>
    <t>生成文件路径：</t>
    <phoneticPr fontId="3" type="noConversion"/>
  </si>
  <si>
    <t>当前目录\xx_ios_ao_config.h</t>
    <phoneticPr fontId="3" type="noConversion"/>
  </si>
  <si>
    <t>default</t>
    <phoneticPr fontId="3" type="noConversion"/>
  </si>
  <si>
    <t>V711_E5</t>
    <phoneticPr fontId="3" type="noConversion"/>
  </si>
  <si>
    <t>pull-up</t>
  </si>
  <si>
    <t>gpio0[2]</t>
  </si>
</sst>
</file>

<file path=xl/styles.xml><?xml version="1.0" encoding="utf-8"?>
<styleSheet xmlns="http://schemas.openxmlformats.org/spreadsheetml/2006/main">
  <fonts count="60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i/>
      <sz val="14"/>
      <name val="宋体"/>
      <family val="3"/>
      <charset val="134"/>
    </font>
    <font>
      <i/>
      <sz val="12"/>
      <name val="宋体"/>
      <family val="3"/>
      <charset val="134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4"/>
      <name val="宋体"/>
      <family val="3"/>
      <charset val="134"/>
    </font>
    <font>
      <sz val="12"/>
      <color indexed="55"/>
      <name val="宋体"/>
      <family val="3"/>
      <charset val="134"/>
    </font>
    <font>
      <sz val="10"/>
      <color indexed="55"/>
      <name val="Arial"/>
      <family val="2"/>
    </font>
    <font>
      <sz val="14"/>
      <color indexed="55"/>
      <name val="宋体"/>
      <family val="3"/>
      <charset val="134"/>
    </font>
    <font>
      <sz val="10"/>
      <color indexed="55"/>
      <name val="宋体"/>
      <family val="3"/>
      <charset val="134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53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0.5"/>
      <name val="Arial"/>
      <family val="2"/>
    </font>
    <font>
      <sz val="10.5"/>
      <name val="Arial"/>
      <family val="2"/>
    </font>
    <font>
      <sz val="10.5"/>
      <name val="宋体"/>
      <family val="3"/>
      <charset val="134"/>
    </font>
    <font>
      <sz val="10.5"/>
      <name val="Times New Roman"/>
      <family val="1"/>
    </font>
    <font>
      <sz val="10.5"/>
      <color rgb="FFFF0000"/>
      <name val="Arial"/>
      <family val="2"/>
    </font>
    <font>
      <sz val="10.5"/>
      <color rgb="FFFF0000"/>
      <name val="宋体"/>
      <family val="3"/>
      <charset val="134"/>
    </font>
    <font>
      <sz val="12"/>
      <color rgb="FFFF0000"/>
      <name val="Arial"/>
      <family val="2"/>
    </font>
    <font>
      <vertAlign val="superscript"/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4"/>
      <color rgb="FF00B0F0"/>
      <name val="Arial"/>
      <family val="2"/>
    </font>
    <font>
      <sz val="14"/>
      <color rgb="FF00B050"/>
      <name val="Arial"/>
      <family val="2"/>
    </font>
    <font>
      <sz val="10"/>
      <color rgb="FFFF0000"/>
      <name val="Arial"/>
      <family val="2"/>
    </font>
    <font>
      <sz val="10"/>
      <color theme="0" tint="-0.499984740745262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63377788628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9">
    <xf numFmtId="0" fontId="0" fillId="0" borderId="0"/>
    <xf numFmtId="0" fontId="17" fillId="0" borderId="0"/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22" fillId="2" borderId="0" applyNumberFormat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34" fillId="0" borderId="0">
      <alignment vertical="center"/>
    </xf>
    <xf numFmtId="0" fontId="2" fillId="0" borderId="0"/>
    <xf numFmtId="0" fontId="25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17" fillId="0" borderId="0"/>
    <xf numFmtId="0" fontId="35" fillId="0" borderId="0">
      <alignment vertical="center"/>
    </xf>
    <xf numFmtId="0" fontId="38" fillId="0" borderId="0">
      <alignment vertical="center"/>
    </xf>
  </cellStyleXfs>
  <cellXfs count="463">
    <xf numFmtId="0" fontId="0" fillId="0" borderId="0" xfId="0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4" borderId="0" xfId="0" applyFill="1" applyAlignment="1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9" fillId="5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/>
    <xf numFmtId="0" fontId="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8" borderId="1" xfId="0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9" fontId="13" fillId="0" borderId="1" xfId="0" applyNumberFormat="1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vertical="center"/>
    </xf>
    <xf numFmtId="0" fontId="8" fillId="7" borderId="3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/>
    </xf>
    <xf numFmtId="0" fontId="13" fillId="7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18" fillId="10" borderId="6" xfId="1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31" fillId="0" borderId="1" xfId="0" applyFont="1" applyFill="1" applyBorder="1" applyAlignment="1">
      <alignment horizontal="center" vertical="center" wrapText="1"/>
    </xf>
    <xf numFmtId="0" fontId="8" fillId="10" borderId="6" xfId="10" applyFont="1" applyFill="1" applyBorder="1" applyAlignment="1">
      <alignment horizontal="left" vertical="center"/>
    </xf>
    <xf numFmtId="0" fontId="32" fillId="0" borderId="1" xfId="0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0" fillId="0" borderId="0" xfId="17" applyFont="1">
      <alignment vertical="center"/>
    </xf>
    <xf numFmtId="0" fontId="2" fillId="0" borderId="0" xfId="17" applyFont="1">
      <alignment vertical="center"/>
    </xf>
    <xf numFmtId="0" fontId="0" fillId="0" borderId="0" xfId="18" applyFont="1">
      <alignment vertical="center"/>
    </xf>
    <xf numFmtId="0" fontId="0" fillId="13" borderId="1" xfId="18" applyFont="1" applyFill="1" applyBorder="1">
      <alignment vertical="center"/>
    </xf>
    <xf numFmtId="0" fontId="0" fillId="14" borderId="1" xfId="18" applyFont="1" applyFill="1" applyBorder="1">
      <alignment vertical="center"/>
    </xf>
    <xf numFmtId="0" fontId="2" fillId="13" borderId="1" xfId="18" applyFont="1" applyFill="1" applyBorder="1">
      <alignment vertical="center"/>
    </xf>
    <xf numFmtId="0" fontId="2" fillId="14" borderId="1" xfId="18" applyFont="1" applyFill="1" applyBorder="1">
      <alignment vertical="center"/>
    </xf>
    <xf numFmtId="0" fontId="0" fillId="14" borderId="1" xfId="18" applyFont="1" applyFill="1" applyBorder="1" applyAlignment="1">
      <alignment vertical="center" wrapText="1"/>
    </xf>
    <xf numFmtId="0" fontId="2" fillId="14" borderId="1" xfId="18" applyFont="1" applyFill="1" applyBorder="1" applyAlignment="1">
      <alignment vertical="center" wrapText="1"/>
    </xf>
    <xf numFmtId="0" fontId="2" fillId="9" borderId="6" xfId="0" applyFont="1" applyFill="1" applyBorder="1" applyAlignment="1">
      <alignment vertical="center"/>
    </xf>
    <xf numFmtId="0" fontId="37" fillId="9" borderId="6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15" borderId="1" xfId="17" applyFont="1" applyFill="1" applyBorder="1">
      <alignment vertical="center"/>
    </xf>
    <xf numFmtId="0" fontId="0" fillId="15" borderId="1" xfId="17" applyFont="1" applyFill="1" applyBorder="1">
      <alignment vertical="center"/>
    </xf>
    <xf numFmtId="0" fontId="2" fillId="17" borderId="1" xfId="17" applyFont="1" applyFill="1" applyBorder="1">
      <alignment vertical="center"/>
    </xf>
    <xf numFmtId="0" fontId="0" fillId="17" borderId="1" xfId="17" applyFont="1" applyFill="1" applyBorder="1">
      <alignment vertical="center"/>
    </xf>
    <xf numFmtId="0" fontId="0" fillId="11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2" fillId="19" borderId="1" xfId="0" applyFont="1" applyFill="1" applyBorder="1" applyAlignment="1">
      <alignment vertical="center"/>
    </xf>
    <xf numFmtId="0" fontId="2" fillId="0" borderId="0" xfId="0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42" fillId="20" borderId="20" xfId="0" applyFont="1" applyFill="1" applyBorder="1" applyAlignment="1">
      <alignment horizontal="center" vertical="top" wrapText="1"/>
    </xf>
    <xf numFmtId="0" fontId="42" fillId="20" borderId="21" xfId="0" applyFont="1" applyFill="1" applyBorder="1" applyAlignment="1">
      <alignment horizontal="center" vertical="top" wrapText="1"/>
    </xf>
    <xf numFmtId="0" fontId="43" fillId="0" borderId="22" xfId="0" applyFont="1" applyBorder="1" applyAlignment="1">
      <alignment vertical="top" wrapText="1"/>
    </xf>
    <xf numFmtId="0" fontId="43" fillId="0" borderId="23" xfId="0" applyFont="1" applyBorder="1" applyAlignment="1">
      <alignment vertical="top" wrapText="1"/>
    </xf>
    <xf numFmtId="0" fontId="44" fillId="0" borderId="23" xfId="0" applyFont="1" applyBorder="1" applyAlignment="1">
      <alignment vertical="top" wrapText="1"/>
    </xf>
    <xf numFmtId="0" fontId="45" fillId="0" borderId="0" xfId="0" applyFont="1" applyAlignment="1">
      <alignment vertical="center"/>
    </xf>
    <xf numFmtId="0" fontId="46" fillId="0" borderId="23" xfId="0" applyFont="1" applyBorder="1" applyAlignment="1">
      <alignment vertical="top" wrapText="1"/>
    </xf>
    <xf numFmtId="0" fontId="46" fillId="0" borderId="22" xfId="0" applyFont="1" applyBorder="1" applyAlignment="1">
      <alignment vertical="top" wrapText="1"/>
    </xf>
    <xf numFmtId="0" fontId="2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 wrapText="1"/>
    </xf>
    <xf numFmtId="0" fontId="2" fillId="21" borderId="1" xfId="0" applyFont="1" applyFill="1" applyBorder="1" applyAlignment="1">
      <alignment vertical="center" wrapText="1"/>
    </xf>
    <xf numFmtId="0" fontId="0" fillId="17" borderId="1" xfId="0" applyFill="1" applyBorder="1" applyAlignment="1">
      <alignment vertical="center"/>
    </xf>
    <xf numFmtId="0" fontId="2" fillId="17" borderId="1" xfId="0" applyFont="1" applyFill="1" applyBorder="1" applyAlignment="1">
      <alignment vertical="center"/>
    </xf>
    <xf numFmtId="0" fontId="2" fillId="17" borderId="1" xfId="0" applyFont="1" applyFill="1" applyBorder="1" applyAlignment="1">
      <alignment vertical="center" wrapText="1"/>
    </xf>
    <xf numFmtId="0" fontId="2" fillId="16" borderId="1" xfId="0" applyFont="1" applyFill="1" applyBorder="1" applyAlignment="1">
      <alignment vertical="center"/>
    </xf>
    <xf numFmtId="0" fontId="0" fillId="16" borderId="1" xfId="0" applyFill="1" applyBorder="1" applyAlignment="1">
      <alignment vertical="center"/>
    </xf>
    <xf numFmtId="0" fontId="9" fillId="15" borderId="1" xfId="0" applyFont="1" applyFill="1" applyBorder="1" applyAlignment="1">
      <alignment vertical="center"/>
    </xf>
    <xf numFmtId="0" fontId="6" fillId="0" borderId="20" xfId="0" applyFont="1" applyBorder="1" applyAlignment="1">
      <alignment vertical="top" wrapText="1"/>
    </xf>
    <xf numFmtId="0" fontId="7" fillId="0" borderId="22" xfId="0" applyFont="1" applyBorder="1" applyAlignment="1">
      <alignment vertical="top" wrapText="1"/>
    </xf>
    <xf numFmtId="0" fontId="48" fillId="0" borderId="22" xfId="0" applyFont="1" applyBorder="1" applyAlignment="1">
      <alignment vertical="top" wrapText="1"/>
    </xf>
    <xf numFmtId="0" fontId="2" fillId="0" borderId="8" xfId="0" applyFont="1" applyBorder="1" applyAlignment="1">
      <alignment vertical="center"/>
    </xf>
    <xf numFmtId="0" fontId="41" fillId="14" borderId="1" xfId="18" applyFont="1" applyFill="1" applyBorder="1">
      <alignment vertical="center"/>
    </xf>
    <xf numFmtId="0" fontId="41" fillId="15" borderId="1" xfId="17" applyFont="1" applyFill="1" applyBorder="1">
      <alignment vertical="center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0" borderId="1" xfId="0" applyFont="1" applyBorder="1" applyAlignment="1">
      <alignment vertical="center" wrapText="1" shrinkToFit="1"/>
    </xf>
    <xf numFmtId="0" fontId="0" fillId="0" borderId="0" xfId="0" applyAlignment="1">
      <alignment vertical="center"/>
    </xf>
    <xf numFmtId="0" fontId="2" fillId="0" borderId="0" xfId="0" applyFont="1" applyAlignment="1">
      <alignment vertical="center" wrapText="1"/>
    </xf>
    <xf numFmtId="0" fontId="0" fillId="13" borderId="1" xfId="17" applyFont="1" applyFill="1" applyBorder="1">
      <alignment vertical="center"/>
    </xf>
    <xf numFmtId="0" fontId="2" fillId="13" borderId="1" xfId="17" applyFont="1" applyFill="1" applyBorder="1">
      <alignment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7" fillId="0" borderId="24" xfId="0" applyFont="1" applyBorder="1" applyAlignment="1">
      <alignment vertical="top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right" vertical="center"/>
    </xf>
    <xf numFmtId="0" fontId="0" fillId="15" borderId="1" xfId="0" applyFill="1" applyBorder="1" applyAlignment="1">
      <alignment horizontal="right" vertical="center"/>
    </xf>
    <xf numFmtId="0" fontId="2" fillId="15" borderId="1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0" fontId="9" fillId="23" borderId="20" xfId="0" applyFont="1" applyFill="1" applyBorder="1" applyAlignment="1">
      <alignment vertical="top" wrapText="1"/>
    </xf>
    <xf numFmtId="0" fontId="6" fillId="23" borderId="24" xfId="0" applyFont="1" applyFill="1" applyBorder="1" applyAlignment="1">
      <alignment vertical="top" wrapText="1"/>
    </xf>
    <xf numFmtId="0" fontId="2" fillId="24" borderId="1" xfId="0" applyFont="1" applyFill="1" applyBorder="1" applyAlignment="1">
      <alignment vertical="center"/>
    </xf>
    <xf numFmtId="0" fontId="2" fillId="24" borderId="1" xfId="0" applyFont="1" applyFill="1" applyBorder="1" applyAlignment="1">
      <alignment vertical="center" wrapText="1"/>
    </xf>
    <xf numFmtId="0" fontId="41" fillId="24" borderId="1" xfId="0" applyFont="1" applyFill="1" applyBorder="1" applyAlignment="1">
      <alignment vertical="center" wrapText="1"/>
    </xf>
    <xf numFmtId="0" fontId="2" fillId="22" borderId="1" xfId="0" applyFont="1" applyFill="1" applyBorder="1" applyAlignment="1">
      <alignment vertical="center"/>
    </xf>
    <xf numFmtId="0" fontId="0" fillId="0" borderId="24" xfId="0" applyBorder="1" applyAlignment="1">
      <alignment vertical="center"/>
    </xf>
    <xf numFmtId="0" fontId="2" fillId="7" borderId="1" xfId="0" applyFont="1" applyFill="1" applyBorder="1" applyAlignment="1">
      <alignment vertical="center" wrapText="1"/>
    </xf>
    <xf numFmtId="0" fontId="2" fillId="9" borderId="4" xfId="0" applyFont="1" applyFill="1" applyBorder="1" applyAlignment="1">
      <alignment vertical="center"/>
    </xf>
    <xf numFmtId="0" fontId="2" fillId="0" borderId="1" xfId="7" applyBorder="1">
      <alignment vertical="center"/>
    </xf>
    <xf numFmtId="0" fontId="8" fillId="27" borderId="1" xfId="0" applyFont="1" applyFill="1" applyBorder="1" applyAlignment="1">
      <alignment vertical="center"/>
    </xf>
    <xf numFmtId="0" fontId="10" fillId="10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/>
    </xf>
    <xf numFmtId="0" fontId="2" fillId="0" borderId="0" xfId="7">
      <alignment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/>
    </xf>
    <xf numFmtId="0" fontId="7" fillId="0" borderId="24" xfId="0" applyFont="1" applyBorder="1" applyAlignment="1">
      <alignment vertical="top" wrapText="1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41" fillId="0" borderId="1" xfId="7" applyFont="1" applyBorder="1">
      <alignment vertical="center"/>
    </xf>
    <xf numFmtId="0" fontId="8" fillId="10" borderId="6" xfId="10" applyFont="1" applyFill="1" applyBorder="1" applyAlignment="1">
      <alignment horizontal="left" vertical="center" wrapText="1"/>
    </xf>
    <xf numFmtId="0" fontId="2" fillId="31" borderId="0" xfId="7" applyFill="1">
      <alignment vertical="center"/>
    </xf>
    <xf numFmtId="0" fontId="2" fillId="27" borderId="0" xfId="7" applyFill="1">
      <alignment vertical="center"/>
    </xf>
    <xf numFmtId="0" fontId="2" fillId="29" borderId="0" xfId="7" applyFill="1">
      <alignment vertical="center"/>
    </xf>
    <xf numFmtId="0" fontId="2" fillId="28" borderId="0" xfId="7" applyFill="1">
      <alignment vertical="center"/>
    </xf>
    <xf numFmtId="0" fontId="2" fillId="26" borderId="0" xfId="7" applyFill="1">
      <alignment vertical="center"/>
    </xf>
    <xf numFmtId="0" fontId="2" fillId="28" borderId="1" xfId="7" applyFill="1" applyBorder="1">
      <alignment vertical="center"/>
    </xf>
    <xf numFmtId="0" fontId="2" fillId="28" borderId="5" xfId="7" applyFill="1" applyBorder="1">
      <alignment vertical="center"/>
    </xf>
    <xf numFmtId="0" fontId="2" fillId="27" borderId="1" xfId="7" applyFill="1" applyBorder="1">
      <alignment vertical="center"/>
    </xf>
    <xf numFmtId="0" fontId="2" fillId="29" borderId="1" xfId="7" applyFill="1" applyBorder="1">
      <alignment vertical="center"/>
    </xf>
    <xf numFmtId="0" fontId="2" fillId="28" borderId="6" xfId="7" applyFill="1" applyBorder="1">
      <alignment vertical="center"/>
    </xf>
    <xf numFmtId="0" fontId="2" fillId="26" borderId="1" xfId="7" applyFill="1" applyBorder="1">
      <alignment vertical="center"/>
    </xf>
    <xf numFmtId="0" fontId="2" fillId="0" borderId="0" xfId="7" applyAlignment="1">
      <alignment horizontal="center" vertical="center"/>
    </xf>
    <xf numFmtId="0" fontId="2" fillId="0" borderId="0" xfId="7" applyFont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/>
    </xf>
    <xf numFmtId="0" fontId="8" fillId="27" borderId="3" xfId="0" applyFont="1" applyFill="1" applyBorder="1" applyAlignment="1">
      <alignment vertical="center"/>
    </xf>
    <xf numFmtId="0" fontId="8" fillId="27" borderId="1" xfId="10" applyFont="1" applyFill="1" applyBorder="1">
      <alignment vertical="center"/>
    </xf>
    <xf numFmtId="0" fontId="0" fillId="32" borderId="6" xfId="0" applyFill="1" applyBorder="1" applyAlignment="1">
      <alignment horizontal="left" vertical="center"/>
    </xf>
    <xf numFmtId="0" fontId="18" fillId="32" borderId="6" xfId="10" applyFont="1" applyFill="1" applyBorder="1" applyAlignment="1">
      <alignment horizontal="center" vertical="center"/>
    </xf>
    <xf numFmtId="0" fontId="41" fillId="0" borderId="0" xfId="0" applyFont="1" applyBorder="1" applyAlignment="1">
      <alignment vertical="center"/>
    </xf>
    <xf numFmtId="9" fontId="41" fillId="0" borderId="0" xfId="0" applyNumberFormat="1" applyFont="1" applyBorder="1" applyAlignment="1">
      <alignment vertical="center"/>
    </xf>
    <xf numFmtId="0" fontId="41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49" fontId="2" fillId="0" borderId="0" xfId="0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2" fillId="9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2" fillId="27" borderId="1" xfId="0" applyFont="1" applyFill="1" applyBorder="1" applyAlignment="1">
      <alignment horizontal="center" vertical="center" wrapText="1"/>
    </xf>
    <xf numFmtId="0" fontId="0" fillId="27" borderId="1" xfId="0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2" fillId="33" borderId="1" xfId="0" applyFont="1" applyFill="1" applyBorder="1" applyAlignment="1">
      <alignment horizontal="center" vertical="center"/>
    </xf>
    <xf numFmtId="0" fontId="2" fillId="33" borderId="1" xfId="0" applyFont="1" applyFill="1" applyBorder="1" applyAlignment="1">
      <alignment horizontal="center" vertical="center" wrapText="1"/>
    </xf>
    <xf numFmtId="0" fontId="0" fillId="33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2" fillId="26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12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0" fillId="27" borderId="1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33" borderId="1" xfId="0" applyFill="1" applyBorder="1" applyAlignment="1">
      <alignment horizontal="center" vertical="center" wrapText="1"/>
    </xf>
    <xf numFmtId="0" fontId="10" fillId="10" borderId="6" xfId="10" applyFont="1" applyFill="1" applyBorder="1" applyAlignment="1">
      <alignment horizontal="left" vertical="center" wrapText="1"/>
    </xf>
    <xf numFmtId="0" fontId="8" fillId="25" borderId="6" xfId="10" applyFont="1" applyFill="1" applyBorder="1" applyAlignment="1">
      <alignment horizontal="left" vertical="center"/>
    </xf>
    <xf numFmtId="0" fontId="51" fillId="0" borderId="0" xfId="0" applyFont="1" applyBorder="1" applyAlignment="1">
      <alignment horizontal="left" vertical="center"/>
    </xf>
    <xf numFmtId="0" fontId="51" fillId="0" borderId="0" xfId="0" applyFont="1" applyBorder="1" applyAlignment="1">
      <alignment vertical="center"/>
    </xf>
    <xf numFmtId="0" fontId="2" fillId="32" borderId="1" xfId="6" applyFill="1" applyBorder="1" applyAlignment="1">
      <alignment vertical="center"/>
    </xf>
    <xf numFmtId="0" fontId="2" fillId="0" borderId="0" xfId="6" applyAlignment="1">
      <alignment vertical="center"/>
    </xf>
    <xf numFmtId="0" fontId="10" fillId="10" borderId="1" xfId="10" applyFont="1" applyFill="1" applyBorder="1" applyAlignment="1">
      <alignment horizontal="left" vertical="center"/>
    </xf>
    <xf numFmtId="0" fontId="8" fillId="27" borderId="3" xfId="0" applyFont="1" applyFill="1" applyBorder="1" applyAlignment="1">
      <alignment vertical="center" wrapText="1"/>
    </xf>
    <xf numFmtId="0" fontId="6" fillId="0" borderId="1" xfId="6" applyFont="1" applyBorder="1" applyAlignment="1">
      <alignment vertical="center"/>
    </xf>
    <xf numFmtId="0" fontId="7" fillId="0" borderId="1" xfId="6" applyFont="1" applyBorder="1" applyAlignment="1">
      <alignment vertical="center"/>
    </xf>
    <xf numFmtId="0" fontId="7" fillId="32" borderId="1" xfId="6" applyFont="1" applyFill="1" applyBorder="1" applyAlignment="1">
      <alignment vertical="center"/>
    </xf>
    <xf numFmtId="0" fontId="7" fillId="32" borderId="1" xfId="0" applyFont="1" applyFill="1" applyBorder="1" applyAlignment="1">
      <alignment vertical="center"/>
    </xf>
    <xf numFmtId="0" fontId="52" fillId="32" borderId="1" xfId="0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53" fillId="32" borderId="1" xfId="0" applyFont="1" applyFill="1" applyBorder="1" applyAlignment="1">
      <alignment vertical="center"/>
    </xf>
    <xf numFmtId="0" fontId="57" fillId="0" borderId="0" xfId="0" applyFont="1" applyAlignment="1">
      <alignment vertical="center"/>
    </xf>
    <xf numFmtId="0" fontId="7" fillId="24" borderId="1" xfId="6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8" fillId="10" borderId="4" xfId="10" applyFont="1" applyFill="1" applyBorder="1" applyAlignment="1">
      <alignment horizontal="left" vertical="center"/>
    </xf>
    <xf numFmtId="0" fontId="2" fillId="27" borderId="6" xfId="7" applyFont="1" applyFill="1" applyBorder="1">
      <alignment vertical="center"/>
    </xf>
    <xf numFmtId="0" fontId="8" fillId="10" borderId="4" xfId="10" applyFont="1" applyFill="1" applyBorder="1" applyAlignment="1">
      <alignment horizontal="left" vertical="center"/>
    </xf>
    <xf numFmtId="0" fontId="18" fillId="10" borderId="0" xfId="10" applyFont="1" applyFill="1" applyBorder="1" applyAlignment="1">
      <alignment horizontal="left" vertical="center"/>
    </xf>
    <xf numFmtId="0" fontId="8" fillId="25" borderId="3" xfId="0" applyFont="1" applyFill="1" applyBorder="1" applyAlignment="1">
      <alignment vertical="center"/>
    </xf>
    <xf numFmtId="0" fontId="2" fillId="30" borderId="4" xfId="0" applyFont="1" applyFill="1" applyBorder="1" applyAlignment="1">
      <alignment vertical="center"/>
    </xf>
    <xf numFmtId="0" fontId="2" fillId="30" borderId="5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 wrapText="1"/>
    </xf>
    <xf numFmtId="0" fontId="2" fillId="30" borderId="1" xfId="7" applyFont="1" applyFill="1" applyBorder="1">
      <alignment vertical="center"/>
    </xf>
    <xf numFmtId="0" fontId="2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21" fillId="10" borderId="7" xfId="1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8" fillId="10" borderId="8" xfId="1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8" fillId="30" borderId="6" xfId="10" applyFont="1" applyFill="1" applyBorder="1" applyAlignment="1">
      <alignment horizontal="left" vertical="center"/>
    </xf>
    <xf numFmtId="0" fontId="8" fillId="30" borderId="0" xfId="10" applyFont="1" applyFill="1" applyBorder="1" applyAlignment="1">
      <alignment horizontal="left" vertical="center"/>
    </xf>
    <xf numFmtId="0" fontId="7" fillId="7" borderId="1" xfId="0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8" fillId="25" borderId="1" xfId="0" applyFont="1" applyFill="1" applyBorder="1" applyAlignment="1">
      <alignment vertical="center"/>
    </xf>
    <xf numFmtId="0" fontId="0" fillId="30" borderId="0" xfId="0" applyFill="1" applyAlignment="1">
      <alignment vertical="center"/>
    </xf>
    <xf numFmtId="0" fontId="58" fillId="10" borderId="6" xfId="10" applyFont="1" applyFill="1" applyBorder="1" applyAlignment="1">
      <alignment horizontal="left" vertical="center"/>
    </xf>
    <xf numFmtId="0" fontId="41" fillId="7" borderId="1" xfId="0" applyFont="1" applyFill="1" applyBorder="1" applyAlignment="1">
      <alignment vertical="center"/>
    </xf>
    <xf numFmtId="0" fontId="2" fillId="9" borderId="6" xfId="0" applyFont="1" applyFill="1" applyBorder="1" applyAlignment="1">
      <alignment vertical="center"/>
    </xf>
    <xf numFmtId="0" fontId="2" fillId="9" borderId="6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10" fillId="10" borderId="7" xfId="10" applyFont="1" applyFill="1" applyBorder="1" applyAlignment="1">
      <alignment vertical="center"/>
    </xf>
    <xf numFmtId="0" fontId="8" fillId="10" borderId="8" xfId="10" applyFont="1" applyFill="1" applyBorder="1" applyAlignment="1">
      <alignment vertical="center"/>
    </xf>
    <xf numFmtId="0" fontId="8" fillId="10" borderId="3" xfId="10" applyFont="1" applyFill="1" applyBorder="1" applyAlignment="1">
      <alignment vertical="center"/>
    </xf>
    <xf numFmtId="0" fontId="10" fillId="27" borderId="7" xfId="0" applyFont="1" applyFill="1" applyBorder="1" applyAlignment="1">
      <alignment vertical="center"/>
    </xf>
    <xf numFmtId="0" fontId="8" fillId="27" borderId="8" xfId="0" applyFont="1" applyFill="1" applyBorder="1" applyAlignment="1">
      <alignment vertical="center"/>
    </xf>
    <xf numFmtId="0" fontId="58" fillId="27" borderId="3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8" fillId="32" borderId="6" xfId="10" applyFont="1" applyFill="1" applyBorder="1" applyAlignment="1">
      <alignment horizontal="left" vertical="center"/>
    </xf>
    <xf numFmtId="0" fontId="8" fillId="27" borderId="14" xfId="0" applyFont="1" applyFill="1" applyBorder="1" applyAlignment="1">
      <alignment vertical="center"/>
    </xf>
    <xf numFmtId="0" fontId="2" fillId="5" borderId="9" xfId="0" applyFont="1" applyFill="1" applyBorder="1" applyAlignment="1">
      <alignment vertical="center"/>
    </xf>
    <xf numFmtId="0" fontId="2" fillId="5" borderId="10" xfId="0" applyFont="1" applyFill="1" applyBorder="1" applyAlignment="1">
      <alignment vertical="center"/>
    </xf>
    <xf numFmtId="0" fontId="2" fillId="5" borderId="11" xfId="0" applyFont="1" applyFill="1" applyBorder="1" applyAlignment="1">
      <alignment vertical="center"/>
    </xf>
    <xf numFmtId="0" fontId="37" fillId="9" borderId="4" xfId="0" applyFont="1" applyFill="1" applyBorder="1" applyAlignment="1">
      <alignment vertical="center"/>
    </xf>
    <xf numFmtId="0" fontId="18" fillId="27" borderId="6" xfId="10" applyFont="1" applyFill="1" applyBorder="1" applyAlignment="1">
      <alignment horizontal="left" vertical="center"/>
    </xf>
    <xf numFmtId="0" fontId="10" fillId="0" borderId="0" xfId="7" applyFont="1" applyFill="1" applyBorder="1">
      <alignment vertical="center"/>
    </xf>
    <xf numFmtId="0" fontId="8" fillId="0" borderId="0" xfId="1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59" fillId="27" borderId="6" xfId="10" applyFont="1" applyFill="1" applyBorder="1" applyAlignment="1">
      <alignment horizontal="left" vertical="center"/>
    </xf>
    <xf numFmtId="0" fontId="59" fillId="10" borderId="6" xfId="10" applyFont="1" applyFill="1" applyBorder="1" applyAlignment="1">
      <alignment horizontal="left" vertical="center"/>
    </xf>
    <xf numFmtId="0" fontId="59" fillId="25" borderId="1" xfId="0" applyFont="1" applyFill="1" applyBorder="1" applyAlignment="1">
      <alignment vertical="center"/>
    </xf>
    <xf numFmtId="0" fontId="59" fillId="25" borderId="6" xfId="10" applyFont="1" applyFill="1" applyBorder="1" applyAlignment="1">
      <alignment horizontal="left" vertical="center"/>
    </xf>
    <xf numFmtId="0" fontId="0" fillId="0" borderId="9" xfId="17" applyFont="1" applyBorder="1">
      <alignment vertical="center"/>
    </xf>
    <xf numFmtId="0" fontId="0" fillId="0" borderId="10" xfId="17" applyFont="1" applyBorder="1">
      <alignment vertical="center"/>
    </xf>
    <xf numFmtId="0" fontId="0" fillId="0" borderId="11" xfId="17" applyFont="1" applyBorder="1">
      <alignment vertical="center"/>
    </xf>
    <xf numFmtId="0" fontId="37" fillId="34" borderId="0" xfId="0" applyFont="1" applyFill="1" applyBorder="1" applyAlignment="1">
      <alignment horizontal="left" vertical="center"/>
    </xf>
    <xf numFmtId="0" fontId="2" fillId="34" borderId="15" xfId="0" applyFont="1" applyFill="1" applyBorder="1" applyAlignment="1">
      <alignment horizontal="center" vertical="center"/>
    </xf>
    <xf numFmtId="0" fontId="0" fillId="34" borderId="0" xfId="17" applyFont="1" applyFill="1">
      <alignment vertical="center"/>
    </xf>
    <xf numFmtId="0" fontId="0" fillId="0" borderId="13" xfId="17" applyFont="1" applyBorder="1">
      <alignment vertical="center"/>
    </xf>
    <xf numFmtId="0" fontId="2" fillId="34" borderId="0" xfId="0" applyFont="1" applyFill="1" applyBorder="1" applyAlignment="1">
      <alignment horizontal="left" vertical="center"/>
    </xf>
    <xf numFmtId="0" fontId="0" fillId="34" borderId="0" xfId="0" applyFill="1" applyBorder="1" applyAlignment="1">
      <alignment horizontal="left" vertical="center"/>
    </xf>
    <xf numFmtId="0" fontId="37" fillId="34" borderId="15" xfId="0" applyFont="1" applyFill="1" applyBorder="1" applyAlignment="1">
      <alignment horizontal="left" vertical="center"/>
    </xf>
    <xf numFmtId="0" fontId="0" fillId="34" borderId="12" xfId="17" applyFont="1" applyFill="1" applyBorder="1">
      <alignment vertical="center"/>
    </xf>
    <xf numFmtId="0" fontId="0" fillId="34" borderId="0" xfId="17" applyFont="1" applyFill="1" applyBorder="1">
      <alignment vertical="center"/>
    </xf>
    <xf numFmtId="0" fontId="0" fillId="0" borderId="12" xfId="17" applyFont="1" applyBorder="1">
      <alignment vertical="center"/>
    </xf>
    <xf numFmtId="0" fontId="0" fillId="0" borderId="0" xfId="17" applyFont="1" applyBorder="1">
      <alignment vertical="center"/>
    </xf>
    <xf numFmtId="0" fontId="2" fillId="0" borderId="0" xfId="17" applyFont="1" applyBorder="1">
      <alignment vertical="center"/>
    </xf>
    <xf numFmtId="0" fontId="0" fillId="0" borderId="14" xfId="17" applyFont="1" applyBorder="1">
      <alignment vertical="center"/>
    </xf>
    <xf numFmtId="0" fontId="0" fillId="0" borderId="15" xfId="17" applyFont="1" applyBorder="1">
      <alignment vertical="center"/>
    </xf>
    <xf numFmtId="0" fontId="2" fillId="0" borderId="28" xfId="17" applyFont="1" applyBorder="1">
      <alignment vertical="center"/>
    </xf>
    <xf numFmtId="0" fontId="18" fillId="32" borderId="6" xfId="1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3" fillId="0" borderId="6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2" fillId="0" borderId="16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/>
    </xf>
    <xf numFmtId="0" fontId="6" fillId="0" borderId="7" xfId="0" applyFont="1" applyFill="1" applyBorder="1" applyAlignment="1">
      <alignment horizontal="center"/>
    </xf>
    <xf numFmtId="0" fontId="6" fillId="0" borderId="18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16" fillId="0" borderId="1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4" xfId="0" applyFont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5" fillId="7" borderId="7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0" fillId="9" borderId="4" xfId="0" applyFill="1" applyBorder="1" applyAlignment="1">
      <alignment vertical="center"/>
    </xf>
    <xf numFmtId="0" fontId="0" fillId="9" borderId="5" xfId="0" applyFill="1" applyBorder="1" applyAlignment="1">
      <alignment vertical="center"/>
    </xf>
    <xf numFmtId="0" fontId="7" fillId="5" borderId="7" xfId="0" applyFont="1" applyFill="1" applyBorder="1" applyAlignment="1">
      <alignment horizontal="center" vertical="center" wrapText="1"/>
    </xf>
    <xf numFmtId="0" fontId="41" fillId="5" borderId="14" xfId="0" applyFont="1" applyFill="1" applyBorder="1" applyAlignment="1">
      <alignment horizontal="center" vertical="center"/>
    </xf>
    <xf numFmtId="0" fontId="41" fillId="5" borderId="15" xfId="0" applyFont="1" applyFill="1" applyBorder="1" applyAlignment="1">
      <alignment horizontal="center" vertical="center"/>
    </xf>
    <xf numFmtId="0" fontId="41" fillId="5" borderId="28" xfId="0" applyFont="1" applyFill="1" applyBorder="1" applyAlignment="1">
      <alignment horizontal="center" vertical="center"/>
    </xf>
    <xf numFmtId="0" fontId="7" fillId="24" borderId="7" xfId="6" applyFont="1" applyFill="1" applyBorder="1" applyAlignment="1">
      <alignment vertical="center"/>
    </xf>
    <xf numFmtId="0" fontId="7" fillId="24" borderId="3" xfId="6" applyFont="1" applyFill="1" applyBorder="1" applyAlignment="1">
      <alignment vertical="center"/>
    </xf>
    <xf numFmtId="0" fontId="7" fillId="0" borderId="7" xfId="6" applyFont="1" applyBorder="1" applyAlignment="1">
      <alignment vertical="center" wrapText="1"/>
    </xf>
    <xf numFmtId="0" fontId="7" fillId="0" borderId="3" xfId="6" applyFont="1" applyBorder="1" applyAlignment="1">
      <alignment vertical="center" wrapText="1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7" fillId="24" borderId="7" xfId="6" applyFont="1" applyFill="1" applyBorder="1" applyAlignment="1">
      <alignment horizontal="center" vertical="center"/>
    </xf>
    <xf numFmtId="0" fontId="7" fillId="24" borderId="8" xfId="6" applyFont="1" applyFill="1" applyBorder="1" applyAlignment="1">
      <alignment horizontal="center" vertical="center"/>
    </xf>
    <xf numFmtId="0" fontId="7" fillId="24" borderId="3" xfId="6" applyFont="1" applyFill="1" applyBorder="1" applyAlignment="1">
      <alignment horizontal="center" vertical="center"/>
    </xf>
    <xf numFmtId="0" fontId="7" fillId="0" borderId="7" xfId="6" applyFont="1" applyBorder="1" applyAlignment="1">
      <alignment vertical="center"/>
    </xf>
    <xf numFmtId="0" fontId="7" fillId="0" borderId="8" xfId="6" applyFont="1" applyBorder="1" applyAlignment="1">
      <alignment vertical="center"/>
    </xf>
    <xf numFmtId="0" fontId="7" fillId="0" borderId="3" xfId="6" applyFont="1" applyBorder="1" applyAlignment="1">
      <alignment vertical="center"/>
    </xf>
    <xf numFmtId="0" fontId="53" fillId="0" borderId="8" xfId="0" applyFont="1" applyBorder="1" applyAlignment="1">
      <alignment vertical="center"/>
    </xf>
    <xf numFmtId="0" fontId="53" fillId="0" borderId="8" xfId="0" applyFont="1" applyBorder="1" applyAlignment="1">
      <alignment vertical="center" wrapText="1"/>
    </xf>
    <xf numFmtId="0" fontId="18" fillId="27" borderId="6" xfId="10" applyFont="1" applyFill="1" applyBorder="1" applyAlignment="1">
      <alignment horizontal="center" vertical="center"/>
    </xf>
    <xf numFmtId="0" fontId="18" fillId="27" borderId="4" xfId="10" applyFont="1" applyFill="1" applyBorder="1" applyAlignment="1">
      <alignment horizontal="center" vertical="center"/>
    </xf>
    <xf numFmtId="0" fontId="18" fillId="27" borderId="5" xfId="10" applyFont="1" applyFill="1" applyBorder="1" applyAlignment="1">
      <alignment horizontal="center" vertical="center"/>
    </xf>
    <xf numFmtId="0" fontId="2" fillId="27" borderId="7" xfId="0" applyFont="1" applyFill="1" applyBorder="1" applyAlignment="1">
      <alignment horizontal="center" vertical="center" wrapText="1"/>
    </xf>
    <xf numFmtId="0" fontId="2" fillId="27" borderId="8" xfId="0" applyFont="1" applyFill="1" applyBorder="1" applyAlignment="1">
      <alignment horizontal="center" vertical="center" wrapText="1"/>
    </xf>
    <xf numFmtId="0" fontId="2" fillId="27" borderId="3" xfId="0" applyFont="1" applyFill="1" applyBorder="1" applyAlignment="1">
      <alignment horizontal="center" vertical="center" wrapText="1"/>
    </xf>
    <xf numFmtId="0" fontId="2" fillId="27" borderId="1" xfId="0" applyFont="1" applyFill="1" applyBorder="1" applyAlignment="1">
      <alignment horizontal="center" vertical="center" wrapText="1"/>
    </xf>
    <xf numFmtId="0" fontId="18" fillId="28" borderId="6" xfId="10" applyFont="1" applyFill="1" applyBorder="1" applyAlignment="1">
      <alignment horizontal="center" vertical="center"/>
    </xf>
    <xf numFmtId="0" fontId="18" fillId="28" borderId="4" xfId="1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8" fillId="28" borderId="5" xfId="10" applyFont="1" applyFill="1" applyBorder="1" applyAlignment="1">
      <alignment horizontal="center" vertical="center"/>
    </xf>
    <xf numFmtId="0" fontId="18" fillId="27" borderId="1" xfId="10" applyFont="1" applyFill="1" applyBorder="1" applyAlignment="1">
      <alignment horizontal="center" vertical="center" wrapText="1"/>
    </xf>
    <xf numFmtId="0" fontId="18" fillId="10" borderId="6" xfId="10" applyFont="1" applyFill="1" applyBorder="1" applyAlignment="1">
      <alignment horizontal="center" vertical="center"/>
    </xf>
    <xf numFmtId="0" fontId="18" fillId="10" borderId="5" xfId="10" applyFont="1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8" fillId="28" borderId="6" xfId="0" applyFont="1" applyFill="1" applyBorder="1" applyAlignment="1">
      <alignment horizontal="center" vertical="center"/>
    </xf>
    <xf numFmtId="0" fontId="0" fillId="28" borderId="4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32" borderId="7" xfId="0" applyFill="1" applyBorder="1" applyAlignment="1">
      <alignment horizontal="center" vertical="center" wrapText="1"/>
    </xf>
    <xf numFmtId="0" fontId="0" fillId="32" borderId="8" xfId="0" applyFill="1" applyBorder="1" applyAlignment="1">
      <alignment vertical="center"/>
    </xf>
    <xf numFmtId="0" fontId="0" fillId="32" borderId="3" xfId="0" applyFill="1" applyBorder="1" applyAlignment="1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18" borderId="7" xfId="0" applyFont="1" applyFill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32" borderId="9" xfId="0" applyFill="1" applyBorder="1" applyAlignment="1">
      <alignment horizontal="center" vertical="center" wrapText="1"/>
    </xf>
    <xf numFmtId="0" fontId="0" fillId="32" borderId="12" xfId="0" applyFill="1" applyBorder="1" applyAlignment="1">
      <alignment vertical="center"/>
    </xf>
    <xf numFmtId="0" fontId="0" fillId="32" borderId="14" xfId="0" applyFill="1" applyBorder="1" applyAlignment="1">
      <alignment vertical="center"/>
    </xf>
    <xf numFmtId="0" fontId="0" fillId="11" borderId="0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2" fillId="25" borderId="6" xfId="0" applyFont="1" applyFill="1" applyBorder="1" applyAlignment="1">
      <alignment horizontal="center" vertical="center" wrapText="1"/>
    </xf>
    <xf numFmtId="0" fontId="2" fillId="25" borderId="4" xfId="0" applyFont="1" applyFill="1" applyBorder="1" applyAlignment="1">
      <alignment horizontal="center" vertical="center" wrapText="1"/>
    </xf>
    <xf numFmtId="0" fontId="2" fillId="25" borderId="9" xfId="0" applyFont="1" applyFill="1" applyBorder="1" applyAlignment="1">
      <alignment horizontal="center" vertical="center"/>
    </xf>
    <xf numFmtId="0" fontId="2" fillId="25" borderId="10" xfId="0" applyFont="1" applyFill="1" applyBorder="1" applyAlignment="1">
      <alignment horizontal="center" vertical="center"/>
    </xf>
    <xf numFmtId="0" fontId="2" fillId="17" borderId="7" xfId="17" applyFont="1" applyFill="1" applyBorder="1" applyAlignment="1">
      <alignment vertical="center" wrapText="1"/>
    </xf>
    <xf numFmtId="0" fontId="2" fillId="17" borderId="8" xfId="17" applyFont="1" applyFill="1" applyBorder="1" applyAlignment="1">
      <alignment vertical="center" wrapText="1"/>
    </xf>
    <xf numFmtId="0" fontId="2" fillId="17" borderId="3" xfId="17" applyFont="1" applyFill="1" applyBorder="1" applyAlignment="1">
      <alignment vertical="center" wrapText="1"/>
    </xf>
    <xf numFmtId="0" fontId="2" fillId="15" borderId="1" xfId="17" applyFont="1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7" fillId="0" borderId="24" xfId="0" applyFont="1" applyBorder="1" applyAlignment="1">
      <alignment vertical="top" wrapText="1"/>
    </xf>
    <xf numFmtId="0" fontId="7" fillId="0" borderId="21" xfId="0" applyFont="1" applyBorder="1" applyAlignment="1">
      <alignment vertical="center" wrapText="1"/>
    </xf>
    <xf numFmtId="0" fontId="7" fillId="0" borderId="17" xfId="0" applyFont="1" applyBorder="1" applyAlignment="1">
      <alignment vertical="top" wrapText="1"/>
    </xf>
    <xf numFmtId="0" fontId="7" fillId="0" borderId="23" xfId="0" applyFont="1" applyBorder="1" applyAlignment="1">
      <alignment vertical="center" wrapText="1"/>
    </xf>
    <xf numFmtId="0" fontId="2" fillId="19" borderId="6" xfId="0" applyFont="1" applyFill="1" applyBorder="1" applyAlignment="1">
      <alignment vertical="center" wrapText="1"/>
    </xf>
    <xf numFmtId="0" fontId="2" fillId="19" borderId="4" xfId="0" applyFont="1" applyFill="1" applyBorder="1" applyAlignment="1">
      <alignment vertical="center" wrapText="1"/>
    </xf>
    <xf numFmtId="0" fontId="2" fillId="19" borderId="5" xfId="0" applyFont="1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24" xfId="0" applyFont="1" applyBorder="1" applyAlignment="1">
      <alignment vertical="top" wrapText="1"/>
    </xf>
    <xf numFmtId="0" fontId="6" fillId="0" borderId="21" xfId="0" applyFont="1" applyBorder="1" applyAlignment="1">
      <alignment vertical="center"/>
    </xf>
    <xf numFmtId="0" fontId="48" fillId="0" borderId="24" xfId="0" applyFont="1" applyBorder="1" applyAlignment="1">
      <alignment vertical="top" wrapText="1"/>
    </xf>
    <xf numFmtId="0" fontId="48" fillId="0" borderId="21" xfId="0" applyFont="1" applyBorder="1" applyAlignment="1">
      <alignment vertical="center"/>
    </xf>
    <xf numFmtId="0" fontId="7" fillId="0" borderId="26" xfId="0" applyFont="1" applyBorder="1" applyAlignment="1">
      <alignment vertical="top" wrapText="1"/>
    </xf>
    <xf numFmtId="0" fontId="7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7" xfId="0" applyBorder="1" applyAlignment="1">
      <alignment vertical="center"/>
    </xf>
    <xf numFmtId="0" fontId="6" fillId="0" borderId="25" xfId="0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1" xfId="0" applyFont="1" applyBorder="1" applyAlignment="1">
      <alignment vertical="center"/>
    </xf>
    <xf numFmtId="0" fontId="7" fillId="0" borderId="25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1" xfId="0" applyBorder="1" applyAlignment="1">
      <alignment vertical="center"/>
    </xf>
    <xf numFmtId="0" fontId="2" fillId="17" borderId="1" xfId="17" applyFont="1" applyFill="1" applyBorder="1" applyAlignment="1">
      <alignment vertical="center" wrapText="1"/>
    </xf>
    <xf numFmtId="0" fontId="0" fillId="17" borderId="1" xfId="17" applyFont="1" applyFill="1" applyBorder="1" applyAlignment="1">
      <alignment vertical="center" wrapText="1"/>
    </xf>
    <xf numFmtId="0" fontId="0" fillId="17" borderId="1" xfId="0" applyFill="1" applyBorder="1" applyAlignment="1">
      <alignment vertical="center" wrapText="1"/>
    </xf>
    <xf numFmtId="0" fontId="9" fillId="15" borderId="6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vertical="center" wrapText="1"/>
    </xf>
    <xf numFmtId="0" fontId="9" fillId="15" borderId="5" xfId="0" applyFont="1" applyFill="1" applyBorder="1" applyAlignment="1">
      <alignment vertical="center" wrapText="1"/>
    </xf>
    <xf numFmtId="0" fontId="0" fillId="17" borderId="7" xfId="17" applyFont="1" applyFill="1" applyBorder="1" applyAlignment="1">
      <alignment vertical="center" wrapText="1"/>
    </xf>
    <xf numFmtId="0" fontId="0" fillId="17" borderId="8" xfId="0" applyFill="1" applyBorder="1" applyAlignment="1">
      <alignment vertical="center" wrapText="1"/>
    </xf>
    <xf numFmtId="0" fontId="0" fillId="17" borderId="3" xfId="0" applyFill="1" applyBorder="1" applyAlignment="1">
      <alignment vertical="center" wrapText="1"/>
    </xf>
    <xf numFmtId="0" fontId="2" fillId="15" borderId="7" xfId="17" applyFont="1" applyFill="1" applyBorder="1" applyAlignment="1">
      <alignment vertical="center"/>
    </xf>
    <xf numFmtId="0" fontId="2" fillId="15" borderId="8" xfId="17" applyFont="1" applyFill="1" applyBorder="1" applyAlignment="1">
      <alignment vertical="center"/>
    </xf>
    <xf numFmtId="0" fontId="2" fillId="15" borderId="3" xfId="17" applyFont="1" applyFill="1" applyBorder="1" applyAlignment="1">
      <alignment vertical="center"/>
    </xf>
    <xf numFmtId="0" fontId="7" fillId="0" borderId="21" xfId="0" applyFont="1" applyBorder="1" applyAlignment="1">
      <alignment vertical="top" wrapText="1"/>
    </xf>
    <xf numFmtId="0" fontId="6" fillId="23" borderId="24" xfId="0" applyFont="1" applyFill="1" applyBorder="1" applyAlignment="1">
      <alignment vertical="top" wrapText="1"/>
    </xf>
    <xf numFmtId="0" fontId="6" fillId="23" borderId="21" xfId="0" applyFont="1" applyFill="1" applyBorder="1" applyAlignment="1">
      <alignment vertical="center" wrapText="1"/>
    </xf>
    <xf numFmtId="0" fontId="9" fillId="23" borderId="24" xfId="0" applyFont="1" applyFill="1" applyBorder="1" applyAlignment="1">
      <alignment vertical="top" wrapText="1"/>
    </xf>
    <xf numFmtId="0" fontId="2" fillId="21" borderId="1" xfId="0" applyFont="1" applyFill="1" applyBorder="1" applyAlignment="1">
      <alignment vertical="center" wrapText="1"/>
    </xf>
    <xf numFmtId="0" fontId="0" fillId="21" borderId="1" xfId="0" applyFill="1" applyBorder="1" applyAlignment="1">
      <alignment vertical="center" wrapText="1"/>
    </xf>
    <xf numFmtId="0" fontId="43" fillId="0" borderId="1" xfId="0" applyFont="1" applyBorder="1" applyAlignment="1">
      <alignment vertical="top" wrapText="1"/>
    </xf>
    <xf numFmtId="0" fontId="0" fillId="0" borderId="1" xfId="0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49" fontId="2" fillId="0" borderId="0" xfId="0" applyNumberFormat="1" applyFont="1" applyAlignment="1">
      <alignment vertical="center" wrapText="1"/>
    </xf>
    <xf numFmtId="0" fontId="43" fillId="0" borderId="24" xfId="0" applyFont="1" applyBorder="1" applyAlignment="1">
      <alignment horizontal="center" vertical="top" wrapText="1"/>
    </xf>
    <xf numFmtId="0" fontId="43" fillId="0" borderId="25" xfId="0" applyFont="1" applyBorder="1" applyAlignment="1">
      <alignment horizontal="center" vertical="top" wrapText="1"/>
    </xf>
    <xf numFmtId="0" fontId="43" fillId="0" borderId="21" xfId="0" applyFont="1" applyBorder="1" applyAlignment="1">
      <alignment horizontal="center" vertical="top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9" fillId="15" borderId="1" xfId="0" applyFont="1" applyFill="1" applyBorder="1" applyAlignment="1">
      <alignment vertical="center" wrapText="1"/>
    </xf>
    <xf numFmtId="0" fontId="41" fillId="19" borderId="6" xfId="0" applyFont="1" applyFill="1" applyBorder="1" applyAlignment="1">
      <alignment vertical="center" wrapText="1"/>
    </xf>
    <xf numFmtId="0" fontId="41" fillId="19" borderId="4" xfId="0" applyFont="1" applyFill="1" applyBorder="1" applyAlignment="1">
      <alignment vertical="center" wrapText="1"/>
    </xf>
    <xf numFmtId="0" fontId="41" fillId="19" borderId="5" xfId="0" applyFont="1" applyFill="1" applyBorder="1" applyAlignment="1">
      <alignment vertical="center" wrapText="1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</cellXfs>
  <cellStyles count="19">
    <cellStyle name="0,0_x000d__x000a_NA_x000d__x000a_" xfId="1"/>
    <cellStyle name="差_IO Pad" xfId="2"/>
    <cellStyle name="差_Sheet1" xfId="3"/>
    <cellStyle name="差_Sheet1_1" xfId="4"/>
    <cellStyle name="差_Sheet1_1 2" xfId="5"/>
    <cellStyle name="常规" xfId="0" builtinId="0"/>
    <cellStyle name="常规 2" xfId="6"/>
    <cellStyle name="常规 3" xfId="7"/>
    <cellStyle name="常规 4" xfId="8"/>
    <cellStyle name="常规 5" xfId="17"/>
    <cellStyle name="常规 6" xfId="18"/>
    <cellStyle name="常规 9" xfId="9"/>
    <cellStyle name="常规_IO Pad" xfId="10"/>
    <cellStyle name="超链接 2" xfId="11"/>
    <cellStyle name="好_IO Pad" xfId="12"/>
    <cellStyle name="好_Sheet1" xfId="13"/>
    <cellStyle name="好_Sheet1_1" xfId="14"/>
    <cellStyle name="好_Sheet1_1 2" xfId="15"/>
    <cellStyle name="样式 1" xfId="16"/>
  </cellStyles>
  <dxfs count="0"/>
  <tableStyles count="0" defaultTableStyle="TableStyleMedium9" defaultPivotStyle="PivotStyleLight16"/>
  <colors>
    <mruColors>
      <color rgb="FFCCFFCC"/>
      <color rgb="FF00CCFF"/>
      <color rgb="FFCC99FF"/>
      <color rgb="FF00FF00"/>
      <color rgb="FF800080"/>
      <color rgb="FFFFCC99"/>
      <color rgb="FF99CCFF"/>
      <color rgb="FFCCCCFF"/>
      <color rgb="FFFFFFCC"/>
      <color rgb="FFFFCC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1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12" Type="http://schemas.openxmlformats.org/officeDocument/2006/relationships/image" Target="../media/image20.emf"/><Relationship Id="rId2" Type="http://schemas.openxmlformats.org/officeDocument/2006/relationships/image" Target="../media/image10.emf"/><Relationship Id="rId16" Type="http://schemas.openxmlformats.org/officeDocument/2006/relationships/image" Target="../media/image24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11" Type="http://schemas.openxmlformats.org/officeDocument/2006/relationships/image" Target="../media/image19.emf"/><Relationship Id="rId5" Type="http://schemas.openxmlformats.org/officeDocument/2006/relationships/image" Target="../media/image13.emf"/><Relationship Id="rId15" Type="http://schemas.openxmlformats.org/officeDocument/2006/relationships/image" Target="../media/image23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Relationship Id="rId14" Type="http://schemas.openxmlformats.org/officeDocument/2006/relationships/image" Target="../media/image2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9525</xdr:rowOff>
    </xdr:to>
    <xdr:sp macro="" textlink="">
      <xdr:nvSpPr>
        <xdr:cNvPr id="13293" name="DtsShapeName" descr="8951E0GGDCC25B918EBEGC2310C6BG4509;&lt;&gt;H9;&lt;&gt;O[40676!!!!!!BIHO@]{40676!!!!@68@3C41107DB4C628E1107DB4C628E!!!!!!!!!!!!!!!!!!!!!!!!!!!!!!!!!!!!!!!!!!!!!!!!!!!!9;&gt;?d82=AIM11033919!!!BIHO@]m11033919!@4458201107DB60ED4@1107DB60ED4@!!!!!!!!!!!!!!!!!!!!!!!!!!!!!!!!!!!!!!!!!!!!!!!!!!!!82M?_82M@1Y49705!!!!!!BIHO@]y49705!!!!@7D31961107DB89B4G@1107DB89B4G@!!!!!!!!!!!!!!!!!!!!!!!!!!!!!!!!!!!!!!!!!!!!!!!!!!!!85J8\8:::B[11057459!!!BIHO@]{110574591@7G05671102E25G229D拱翱MUD^RH'QJF^SDP^011$/ymr!!!!!!!!!!!!!!!!!!!!!!!!!!!!!!!!!!!!!894@g894BJB56847!!!!!!BIHO@]b56847!!!1@7G05E01102E237@@121102E237@@12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1!J" hidden="1"/>
        <xdr:cNvSpPr>
          <a:spLocks noChangeArrowheads="1"/>
        </xdr:cNvSpPr>
      </xdr:nvSpPr>
      <xdr:spPr bwMode="auto">
        <a:xfrm>
          <a:off x="0" y="0"/>
          <a:ext cx="9525" cy="9525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w 21600"/>
            <a:gd name="T7" fmla="*/ 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17</xdr:row>
      <xdr:rowOff>114300</xdr:rowOff>
    </xdr:from>
    <xdr:to>
      <xdr:col>7</xdr:col>
      <xdr:colOff>571500</xdr:colOff>
      <xdr:row>17</xdr:row>
      <xdr:rowOff>1781175</xdr:rowOff>
    </xdr:to>
    <xdr:grpSp>
      <xdr:nvGrpSpPr>
        <xdr:cNvPr id="38262" name="Group 28"/>
        <xdr:cNvGrpSpPr>
          <a:grpSpLocks/>
        </xdr:cNvGrpSpPr>
      </xdr:nvGrpSpPr>
      <xdr:grpSpPr bwMode="auto">
        <a:xfrm>
          <a:off x="3876675" y="6524625"/>
          <a:ext cx="6515100" cy="1666875"/>
          <a:chOff x="360" y="1265"/>
          <a:chExt cx="846" cy="175"/>
        </a:xfrm>
      </xdr:grpSpPr>
      <xdr:grpSp>
        <xdr:nvGrpSpPr>
          <xdr:cNvPr id="38263" name="Group 2"/>
          <xdr:cNvGrpSpPr>
            <a:grpSpLocks/>
          </xdr:cNvGrpSpPr>
        </xdr:nvGrpSpPr>
        <xdr:grpSpPr bwMode="auto">
          <a:xfrm>
            <a:off x="360" y="1265"/>
            <a:ext cx="841" cy="47"/>
            <a:chOff x="163" y="1136"/>
            <a:chExt cx="576" cy="47"/>
          </a:xfrm>
        </xdr:grpSpPr>
        <xdr:sp macro="" textlink="">
          <xdr:nvSpPr>
            <xdr:cNvPr id="5123" name="Rectangle 3"/>
            <xdr:cNvSpPr>
              <a:spLocks noChangeArrowheads="1"/>
            </xdr:cNvSpPr>
          </xdr:nvSpPr>
          <xdr:spPr bwMode="auto">
            <a:xfrm>
              <a:off x="244" y="1149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24" name="Rectangle 4"/>
            <xdr:cNvSpPr>
              <a:spLocks noChangeArrowheads="1"/>
            </xdr:cNvSpPr>
          </xdr:nvSpPr>
          <xdr:spPr bwMode="auto">
            <a:xfrm>
              <a:off x="412" y="1150"/>
              <a:ext cx="63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25" name="Rectangle 5"/>
            <xdr:cNvSpPr>
              <a:spLocks noChangeArrowheads="1"/>
            </xdr:cNvSpPr>
          </xdr:nvSpPr>
          <xdr:spPr bwMode="auto">
            <a:xfrm>
              <a:off x="311" y="1136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First version</a:t>
              </a:r>
            </a:p>
          </xdr:txBody>
        </xdr:sp>
        <xdr:sp macro="" textlink="">
          <xdr:nvSpPr>
            <xdr:cNvPr id="5126" name="Rectangle 6"/>
            <xdr:cNvSpPr>
              <a:spLocks noChangeArrowheads="1"/>
            </xdr:cNvSpPr>
          </xdr:nvSpPr>
          <xdr:spPr bwMode="auto">
            <a:xfrm>
              <a:off x="644" y="1140"/>
              <a:ext cx="95" cy="43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27" name="Rectangle 7"/>
            <xdr:cNvSpPr>
              <a:spLocks noChangeArrowheads="1"/>
            </xdr:cNvSpPr>
          </xdr:nvSpPr>
          <xdr:spPr bwMode="auto">
            <a:xfrm>
              <a:off x="481" y="1136"/>
              <a:ext cx="155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&amp;Second  vension</a:t>
              </a:r>
            </a:p>
          </xdr:txBody>
        </xdr:sp>
        <xdr:cxnSp macro="">
          <xdr:nvCxnSpPr>
            <xdr:cNvPr id="38282" name="AutoShape 9"/>
            <xdr:cNvCxnSpPr>
              <a:cxnSpLocks noChangeShapeType="1"/>
              <a:stCxn id="5124" idx="3"/>
              <a:endCxn id="5126" idx="1"/>
            </xdr:cNvCxnSpPr>
          </xdr:nvCxnSpPr>
          <xdr:spPr bwMode="auto">
            <a:xfrm>
              <a:off x="475" y="1162"/>
              <a:ext cx="169" cy="0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83" name="AutoShape 10"/>
            <xdr:cNvCxnSpPr>
              <a:cxnSpLocks noChangeShapeType="1"/>
              <a:stCxn id="5123" idx="3"/>
              <a:endCxn id="5124" idx="1"/>
            </xdr:cNvCxnSpPr>
          </xdr:nvCxnSpPr>
          <xdr:spPr bwMode="auto">
            <a:xfrm>
              <a:off x="300" y="1161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4" name="Group 11"/>
          <xdr:cNvGrpSpPr>
            <a:grpSpLocks/>
          </xdr:cNvGrpSpPr>
        </xdr:nvGrpSpPr>
        <xdr:grpSpPr bwMode="auto">
          <a:xfrm>
            <a:off x="365" y="1390"/>
            <a:ext cx="841" cy="50"/>
            <a:chOff x="164" y="1260"/>
            <a:chExt cx="577" cy="50"/>
          </a:xfrm>
        </xdr:grpSpPr>
        <xdr:sp macro="" textlink="">
          <xdr:nvSpPr>
            <xdr:cNvPr id="5132" name="Rectangle 12"/>
            <xdr:cNvSpPr>
              <a:spLocks noChangeArrowheads="1"/>
            </xdr:cNvSpPr>
          </xdr:nvSpPr>
          <xdr:spPr bwMode="auto">
            <a:xfrm>
              <a:off x="413" y="1277"/>
              <a:ext cx="64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Qual lot</a:t>
              </a:r>
            </a:p>
          </xdr:txBody>
        </xdr:sp>
        <xdr:sp macro="" textlink="">
          <xdr:nvSpPr>
            <xdr:cNvPr id="5133" name="Rectangle 13"/>
            <xdr:cNvSpPr>
              <a:spLocks noChangeArrowheads="1"/>
            </xdr:cNvSpPr>
          </xdr:nvSpPr>
          <xdr:spPr bwMode="auto">
            <a:xfrm>
              <a:off x="245" y="1276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34" name="Rectangle 14"/>
            <xdr:cNvSpPr>
              <a:spLocks noChangeArrowheads="1"/>
            </xdr:cNvSpPr>
          </xdr:nvSpPr>
          <xdr:spPr bwMode="auto">
            <a:xfrm>
              <a:off x="646" y="1266"/>
              <a:ext cx="95" cy="4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35" name="Rectangle 15"/>
            <xdr:cNvSpPr>
              <a:spLocks noChangeArrowheads="1"/>
            </xdr:cNvSpPr>
          </xdr:nvSpPr>
          <xdr:spPr bwMode="auto">
            <a:xfrm>
              <a:off x="312" y="1262"/>
              <a:ext cx="89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sp macro="" textlink="">
          <xdr:nvSpPr>
            <xdr:cNvPr id="5136" name="Rectangle 16"/>
            <xdr:cNvSpPr>
              <a:spLocks noChangeArrowheads="1"/>
            </xdr:cNvSpPr>
          </xdr:nvSpPr>
          <xdr:spPr bwMode="auto">
            <a:xfrm>
              <a:off x="482" y="1260"/>
              <a:ext cx="151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 Sencond version</a:t>
              </a:r>
            </a:p>
          </xdr:txBody>
        </xdr:sp>
        <xdr:cxnSp macro="">
          <xdr:nvCxnSpPr>
            <xdr:cNvPr id="38275" name="AutoShape 18"/>
            <xdr:cNvCxnSpPr>
              <a:cxnSpLocks noChangeShapeType="1"/>
              <a:stCxn id="5133" idx="3"/>
              <a:endCxn id="5132" idx="1"/>
            </xdr:cNvCxnSpPr>
          </xdr:nvCxnSpPr>
          <xdr:spPr bwMode="auto">
            <a:xfrm>
              <a:off x="301" y="1288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76" name="AutoShape 19"/>
            <xdr:cNvCxnSpPr>
              <a:cxnSpLocks noChangeShapeType="1"/>
              <a:stCxn id="5132" idx="3"/>
              <a:endCxn id="5134" idx="1"/>
            </xdr:cNvCxnSpPr>
          </xdr:nvCxnSpPr>
          <xdr:spPr bwMode="auto">
            <a:xfrm flipV="1">
              <a:off x="477" y="1288"/>
              <a:ext cx="169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5" name="Group 20"/>
          <xdr:cNvGrpSpPr>
            <a:grpSpLocks/>
          </xdr:cNvGrpSpPr>
        </xdr:nvGrpSpPr>
        <xdr:grpSpPr bwMode="auto">
          <a:xfrm>
            <a:off x="360" y="1329"/>
            <a:ext cx="839" cy="49"/>
            <a:chOff x="163" y="1200"/>
            <a:chExt cx="577" cy="49"/>
          </a:xfrm>
        </xdr:grpSpPr>
        <xdr:sp macro="" textlink="">
          <xdr:nvSpPr>
            <xdr:cNvPr id="5141" name="Rectangle 21"/>
            <xdr:cNvSpPr>
              <a:spLocks noChangeArrowheads="1"/>
            </xdr:cNvSpPr>
          </xdr:nvSpPr>
          <xdr:spPr bwMode="auto">
            <a:xfrm>
              <a:off x="244" y="1218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42" name="Rectangle 22"/>
            <xdr:cNvSpPr>
              <a:spLocks noChangeArrowheads="1"/>
            </xdr:cNvSpPr>
          </xdr:nvSpPr>
          <xdr:spPr bwMode="auto">
            <a:xfrm>
              <a:off x="644" y="1208"/>
              <a:ext cx="95" cy="4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43" name="Rectangle 23"/>
            <xdr:cNvSpPr>
              <a:spLocks noChangeArrowheads="1"/>
            </xdr:cNvSpPr>
          </xdr:nvSpPr>
          <xdr:spPr bwMode="auto">
            <a:xfrm>
              <a:off x="401" y="1200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cxnSp macro="">
          <xdr:nvCxnSpPr>
            <xdr:cNvPr id="38269" name="AutoShape 25"/>
            <xdr:cNvCxnSpPr>
              <a:cxnSpLocks noChangeShapeType="1"/>
              <a:stCxn id="5141" idx="3"/>
              <a:endCxn id="5142" idx="1"/>
            </xdr:cNvCxnSpPr>
          </xdr:nvCxnSpPr>
          <xdr:spPr bwMode="auto">
            <a:xfrm flipV="1">
              <a:off x="300" y="1229"/>
              <a:ext cx="345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0869;&#25511;/&#25972;&#29702;&#26684;&#24335;/&#21016;&#26480;/Balong%20V700R200%20SI&amp;PKG_REQ_auto_ios_powerdown_UD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00146~1.CHI/LOCALS~1/Temp/notesFCBCEE/Balong%20V700R001%20ePAD_2-2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"/>
      <sheetName val="Package"/>
      <sheetName val="Die"/>
      <sheetName val="Performance"/>
      <sheetName val="IO Pad"/>
      <sheetName val="GSBI复用说明"/>
      <sheetName val="Power&amp;Gnd"/>
      <sheetName val="硬件使用说明"/>
      <sheetName val="接口位置图"/>
      <sheetName val="IP list"/>
      <sheetName val="特殊信号处理"/>
      <sheetName val="代码生成"/>
      <sheetName val="使用手册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A4" t="str">
            <v>default</v>
          </cell>
          <cell r="B4" t="str">
            <v>nf_ce0_n</v>
          </cell>
          <cell r="C4" t="str">
            <v>ch0_rxb_data[0]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5">
          <cell r="P5" t="str">
            <v>D_TCXO0_CLK</v>
          </cell>
        </row>
        <row r="6">
          <cell r="P6" t="str">
            <v>D_TCXO1_CLK</v>
          </cell>
        </row>
        <row r="7">
          <cell r="P7" t="str">
            <v>D_TCXO_SEL</v>
          </cell>
        </row>
        <row r="8">
          <cell r="P8" t="str">
            <v>CLKIN_SLEEP</v>
          </cell>
        </row>
        <row r="9">
          <cell r="P9" t="str">
            <v>TCXO0_IN</v>
          </cell>
        </row>
        <row r="10">
          <cell r="P10" t="str">
            <v>TCXO1_IN</v>
          </cell>
        </row>
        <row r="11">
          <cell r="P11" t="str">
            <v>TCXO0_EN</v>
          </cell>
        </row>
        <row r="12">
          <cell r="P12" t="str">
            <v>TCXO1_EN</v>
          </cell>
        </row>
        <row r="13">
          <cell r="P13" t="str">
            <v>PMU_RSTIN_N</v>
          </cell>
        </row>
        <row r="14">
          <cell r="P14" t="str">
            <v>PMU_RSTOUT_N</v>
          </cell>
        </row>
        <row r="15">
          <cell r="P15" t="str">
            <v>PMU_HOLD</v>
          </cell>
        </row>
        <row r="16">
          <cell r="P16" t="str">
            <v>PMU_IRQ_N</v>
          </cell>
        </row>
        <row r="17">
          <cell r="P17" t="str">
            <v>PMU_LP</v>
          </cell>
        </row>
        <row r="18">
          <cell r="P18" t="str">
            <v>BOOT_MODE0</v>
          </cell>
        </row>
        <row r="19">
          <cell r="P19" t="str">
            <v>BOOT_MODE1</v>
          </cell>
        </row>
        <row r="20">
          <cell r="P20" t="str">
            <v>BOOT_MODE2</v>
          </cell>
        </row>
        <row r="21">
          <cell r="P21" t="str">
            <v>JTAG_MODE0</v>
          </cell>
        </row>
        <row r="22">
          <cell r="P22" t="str">
            <v>JTAG_MODE1</v>
          </cell>
        </row>
        <row r="23">
          <cell r="P23" t="str">
            <v>JTAG_MODE2</v>
          </cell>
        </row>
        <row r="24">
          <cell r="P24" t="str">
            <v>JTAG0_TCK</v>
          </cell>
        </row>
        <row r="25">
          <cell r="P25" t="str">
            <v>JTAG0_RTCK</v>
          </cell>
        </row>
        <row r="26">
          <cell r="P26" t="str">
            <v>JTAG0_TRST_N</v>
          </cell>
        </row>
        <row r="27">
          <cell r="P27" t="str">
            <v>JTAG0_TMS</v>
          </cell>
        </row>
        <row r="28">
          <cell r="P28" t="str">
            <v>JTAG0_TDI</v>
          </cell>
        </row>
        <row r="29">
          <cell r="P29" t="str">
            <v>JTAG0_TDO</v>
          </cell>
        </row>
        <row r="30">
          <cell r="P30" t="str">
            <v>JTAG1_TCK</v>
          </cell>
        </row>
        <row r="31">
          <cell r="P31" t="str">
            <v>JTAG1_RTCK</v>
          </cell>
        </row>
        <row r="32">
          <cell r="P32" t="str">
            <v>JTAG1_TRST_N</v>
          </cell>
        </row>
        <row r="33">
          <cell r="P33" t="str">
            <v>JTAG1_TMS</v>
          </cell>
        </row>
        <row r="34">
          <cell r="P34" t="str">
            <v>JTAG1_TDI</v>
          </cell>
        </row>
        <row r="35">
          <cell r="P35" t="str">
            <v>JTAG1_TDO</v>
          </cell>
        </row>
        <row r="36">
          <cell r="P36" t="str">
            <v>EFUSE_CS_N</v>
          </cell>
        </row>
        <row r="37">
          <cell r="P37" t="str">
            <v>EFUSE_SCLK</v>
          </cell>
        </row>
        <row r="38">
          <cell r="P38" t="str">
            <v>EFUSE_PGM</v>
          </cell>
        </row>
        <row r="39">
          <cell r="P39" t="str">
            <v>EFUSE_DIN</v>
          </cell>
        </row>
        <row r="40">
          <cell r="P40" t="str">
            <v>EFUSE_DOUT</v>
          </cell>
        </row>
        <row r="41">
          <cell r="P41" t="str">
            <v>EFUSE_VDDQ</v>
          </cell>
        </row>
        <row r="42">
          <cell r="P42" t="str">
            <v>DDR_CKP</v>
          </cell>
        </row>
        <row r="43">
          <cell r="P43" t="str">
            <v>DDR_CKN</v>
          </cell>
        </row>
        <row r="44">
          <cell r="P44" t="str">
            <v>DDR_CKE</v>
          </cell>
        </row>
        <row r="45">
          <cell r="P45" t="str">
            <v>DDR_CS_N</v>
          </cell>
        </row>
        <row r="46">
          <cell r="P46" t="str">
            <v>DDR_RAS_N</v>
          </cell>
        </row>
        <row r="47">
          <cell r="P47" t="str">
            <v>DDR_CAS_N</v>
          </cell>
        </row>
        <row r="48">
          <cell r="P48" t="str">
            <v>DDR_WE_N</v>
          </cell>
        </row>
        <row r="49">
          <cell r="P49" t="str">
            <v>DDR_BA0</v>
          </cell>
        </row>
        <row r="50">
          <cell r="P50" t="str">
            <v>DDR_BA1</v>
          </cell>
        </row>
        <row r="51">
          <cell r="P51" t="str">
            <v>DDR_ADDR0</v>
          </cell>
        </row>
        <row r="52">
          <cell r="P52" t="str">
            <v>DDR_ADDR1</v>
          </cell>
        </row>
        <row r="53">
          <cell r="P53" t="str">
            <v>DDR_ADDR2</v>
          </cell>
        </row>
        <row r="54">
          <cell r="P54" t="str">
            <v>DDR_ADDR3</v>
          </cell>
        </row>
        <row r="55">
          <cell r="P55" t="str">
            <v>DDR_ADDR4</v>
          </cell>
        </row>
        <row r="56">
          <cell r="P56" t="str">
            <v>DDR_ADDR5</v>
          </cell>
        </row>
        <row r="57">
          <cell r="P57" t="str">
            <v>DDR_ADDR6</v>
          </cell>
        </row>
        <row r="58">
          <cell r="P58" t="str">
            <v>DDR_ADDR7</v>
          </cell>
        </row>
        <row r="59">
          <cell r="P59" t="str">
            <v>DDR_ADDR8</v>
          </cell>
        </row>
        <row r="60">
          <cell r="P60" t="str">
            <v>DDR_ADDR9</v>
          </cell>
        </row>
        <row r="61">
          <cell r="P61" t="str">
            <v>DDR_ADDR10</v>
          </cell>
        </row>
        <row r="62">
          <cell r="P62" t="str">
            <v>DDR_ADDR11</v>
          </cell>
        </row>
        <row r="63">
          <cell r="P63" t="str">
            <v>DDR_ADDR12</v>
          </cell>
        </row>
        <row r="64">
          <cell r="P64" t="str">
            <v>DDR_DQM0</v>
          </cell>
        </row>
        <row r="65">
          <cell r="P65" t="str">
            <v>DDR_DQM1</v>
          </cell>
        </row>
        <row r="66">
          <cell r="P66" t="str">
            <v>DDR_DQM2</v>
          </cell>
        </row>
        <row r="67">
          <cell r="P67" t="str">
            <v>DDR_DQM3</v>
          </cell>
        </row>
        <row r="68">
          <cell r="P68" t="str">
            <v>DDR_DQ00</v>
          </cell>
        </row>
        <row r="69">
          <cell r="P69" t="str">
            <v>DDR_DQ01</v>
          </cell>
        </row>
        <row r="70">
          <cell r="P70" t="str">
            <v>DDR_DQ02</v>
          </cell>
        </row>
        <row r="71">
          <cell r="P71" t="str">
            <v>DDR_DQ03</v>
          </cell>
        </row>
        <row r="72">
          <cell r="P72" t="str">
            <v>DDR_DQ04</v>
          </cell>
        </row>
        <row r="73">
          <cell r="P73" t="str">
            <v>DDR_DQ05</v>
          </cell>
        </row>
        <row r="74">
          <cell r="P74" t="str">
            <v>DDR_DQ06</v>
          </cell>
        </row>
        <row r="75">
          <cell r="P75" t="str">
            <v>DDR_DQ07</v>
          </cell>
        </row>
        <row r="76">
          <cell r="P76" t="str">
            <v>DDR_DQ08</v>
          </cell>
        </row>
        <row r="77">
          <cell r="P77" t="str">
            <v>DDR_DQ09</v>
          </cell>
        </row>
        <row r="78">
          <cell r="P78" t="str">
            <v>DDR_DQ10</v>
          </cell>
        </row>
        <row r="79">
          <cell r="P79" t="str">
            <v>DDR_DQ11</v>
          </cell>
        </row>
        <row r="80">
          <cell r="P80" t="str">
            <v>DDR_DQ12</v>
          </cell>
        </row>
        <row r="81">
          <cell r="P81" t="str">
            <v>DDR_DQ13</v>
          </cell>
        </row>
        <row r="82">
          <cell r="P82" t="str">
            <v>DDR_DQ14</v>
          </cell>
        </row>
        <row r="83">
          <cell r="P83" t="str">
            <v>DDR_DQ15</v>
          </cell>
        </row>
        <row r="84">
          <cell r="P84" t="str">
            <v>DDR_DQ16</v>
          </cell>
        </row>
        <row r="85">
          <cell r="P85" t="str">
            <v>DDR_DQ17</v>
          </cell>
        </row>
        <row r="86">
          <cell r="P86" t="str">
            <v>DDR_DQ18</v>
          </cell>
        </row>
        <row r="87">
          <cell r="P87" t="str">
            <v>DDR_DQ19</v>
          </cell>
        </row>
        <row r="88">
          <cell r="P88" t="str">
            <v>DDR_DQ20</v>
          </cell>
        </row>
        <row r="89">
          <cell r="P89" t="str">
            <v>DDR_DQ21</v>
          </cell>
        </row>
        <row r="90">
          <cell r="P90" t="str">
            <v>DDR_DQ22</v>
          </cell>
        </row>
        <row r="91">
          <cell r="P91" t="str">
            <v>DDR_DQ23</v>
          </cell>
        </row>
        <row r="92">
          <cell r="P92" t="str">
            <v>DDR_DQ24</v>
          </cell>
        </row>
        <row r="93">
          <cell r="P93" t="str">
            <v>DDR_DQ25</v>
          </cell>
        </row>
        <row r="94">
          <cell r="P94" t="str">
            <v>DDR_DQ26</v>
          </cell>
        </row>
        <row r="95">
          <cell r="P95" t="str">
            <v>DDR_DQ27</v>
          </cell>
        </row>
        <row r="96">
          <cell r="P96" t="str">
            <v>DDR_DQ28</v>
          </cell>
        </row>
        <row r="97">
          <cell r="P97" t="str">
            <v>DDR_DQ29</v>
          </cell>
        </row>
        <row r="98">
          <cell r="P98" t="str">
            <v>DDR_DQ30</v>
          </cell>
        </row>
        <row r="99">
          <cell r="P99" t="str">
            <v>DDR_DQ31</v>
          </cell>
        </row>
        <row r="100">
          <cell r="P100" t="str">
            <v>DDR_DQS0_P</v>
          </cell>
        </row>
        <row r="101">
          <cell r="P101" t="str">
            <v>DDR_DQS0_N</v>
          </cell>
        </row>
        <row r="102">
          <cell r="P102" t="str">
            <v>DDR_DQS1_P</v>
          </cell>
        </row>
        <row r="103">
          <cell r="P103" t="str">
            <v>DDR_DQS1_N</v>
          </cell>
        </row>
        <row r="104">
          <cell r="P104" t="str">
            <v>DDR_DQS2_P</v>
          </cell>
        </row>
        <row r="105">
          <cell r="P105" t="str">
            <v>DDR_DQS2_N</v>
          </cell>
        </row>
        <row r="106">
          <cell r="P106" t="str">
            <v>DDR_DQS3_P</v>
          </cell>
        </row>
        <row r="107">
          <cell r="P107" t="str">
            <v>DDR_DQS3_N</v>
          </cell>
        </row>
        <row r="108">
          <cell r="P108" t="str">
            <v>DDR_ZQ</v>
          </cell>
        </row>
        <row r="109">
          <cell r="P109" t="str">
            <v>NF_CE0_N</v>
          </cell>
        </row>
        <row r="110">
          <cell r="P110" t="str">
            <v>NF_ALE</v>
          </cell>
        </row>
        <row r="111">
          <cell r="P111" t="str">
            <v>NF_CLE</v>
          </cell>
        </row>
        <row r="112">
          <cell r="P112" t="str">
            <v>NF_WR_N</v>
          </cell>
        </row>
        <row r="113">
          <cell r="P113" t="str">
            <v>NF_RD_N</v>
          </cell>
        </row>
        <row r="114">
          <cell r="P114" t="str">
            <v>NF_DATA0</v>
          </cell>
        </row>
        <row r="115">
          <cell r="P115" t="str">
            <v>NF_DATA1</v>
          </cell>
        </row>
        <row r="116">
          <cell r="P116" t="str">
            <v>NF_DATA2</v>
          </cell>
        </row>
        <row r="117">
          <cell r="P117" t="str">
            <v>NF_DATA3</v>
          </cell>
        </row>
        <row r="118">
          <cell r="P118" t="str">
            <v>NF_DATA4</v>
          </cell>
        </row>
        <row r="119">
          <cell r="P119" t="str">
            <v>NF_DATA5</v>
          </cell>
        </row>
        <row r="120">
          <cell r="P120" t="str">
            <v>NF_DATA6</v>
          </cell>
        </row>
        <row r="121">
          <cell r="P121" t="str">
            <v>NF_DATA7</v>
          </cell>
        </row>
        <row r="122">
          <cell r="P122" t="str">
            <v>NF_DATA8</v>
          </cell>
        </row>
        <row r="123">
          <cell r="P123" t="str">
            <v>NF_DATA9</v>
          </cell>
        </row>
        <row r="124">
          <cell r="P124" t="str">
            <v>NF_DATA10</v>
          </cell>
        </row>
        <row r="125">
          <cell r="P125" t="str">
            <v>NF_DATA11</v>
          </cell>
        </row>
        <row r="126">
          <cell r="P126" t="str">
            <v>NF_DATA12</v>
          </cell>
        </row>
        <row r="127">
          <cell r="P127" t="str">
            <v>NF_DATA13</v>
          </cell>
        </row>
        <row r="128">
          <cell r="P128" t="str">
            <v>NF_DATA14</v>
          </cell>
        </row>
        <row r="129">
          <cell r="P129" t="str">
            <v>NF_DATA15</v>
          </cell>
        </row>
        <row r="130">
          <cell r="P130" t="str">
            <v>NF_RB0</v>
          </cell>
        </row>
        <row r="131">
          <cell r="P131" t="str">
            <v>NF_ADDR_NUM</v>
          </cell>
        </row>
        <row r="132">
          <cell r="P132" t="str">
            <v>NF_DATA_WIDE</v>
          </cell>
        </row>
        <row r="133">
          <cell r="P133" t="str">
            <v>NF_PAGE_SIZE0</v>
          </cell>
        </row>
        <row r="134">
          <cell r="P134" t="str">
            <v>NF_PAGE_SIZE1</v>
          </cell>
        </row>
        <row r="135">
          <cell r="P135" t="str">
            <v>NF_BLOCK_SIZE</v>
          </cell>
        </row>
        <row r="136">
          <cell r="P136" t="str">
            <v>NF_ECC_TYPE0</v>
          </cell>
        </row>
        <row r="137">
          <cell r="P137" t="str">
            <v>NF_ECC_TYPE1</v>
          </cell>
        </row>
        <row r="138">
          <cell r="P138" t="str">
            <v>NF_ECC_TYPE2</v>
          </cell>
        </row>
        <row r="139">
          <cell r="P139" t="str">
            <v>USB20_VBUS</v>
          </cell>
        </row>
        <row r="140">
          <cell r="P140" t="str">
            <v>USB20_ID</v>
          </cell>
        </row>
        <row r="141">
          <cell r="P141" t="str">
            <v>USB20_DP</v>
          </cell>
        </row>
        <row r="142">
          <cell r="P142" t="str">
            <v>USB20_DM</v>
          </cell>
        </row>
        <row r="143">
          <cell r="P143" t="str">
            <v>USB20_RKELVIN</v>
          </cell>
        </row>
        <row r="144">
          <cell r="P144" t="str">
            <v>USB20_ANALOGTEST</v>
          </cell>
        </row>
        <row r="145">
          <cell r="P145" t="str">
            <v>USB20_XO</v>
          </cell>
        </row>
        <row r="146">
          <cell r="P146" t="str">
            <v>USB20_XI</v>
          </cell>
        </row>
        <row r="147">
          <cell r="P147" t="str">
            <v>HSIC_STROBE</v>
          </cell>
        </row>
        <row r="148">
          <cell r="P148" t="str">
            <v>HSIC_DATA</v>
          </cell>
        </row>
        <row r="149">
          <cell r="P149" t="str">
            <v>PMU_USIM0_CLK</v>
          </cell>
        </row>
        <row r="150">
          <cell r="P150" t="str">
            <v>PMU_USIM0_RST</v>
          </cell>
        </row>
        <row r="151">
          <cell r="P151" t="str">
            <v>PMU_USIM0_DATA</v>
          </cell>
        </row>
        <row r="152">
          <cell r="P152" t="str">
            <v>PMU_USIM0_DETECT</v>
          </cell>
        </row>
        <row r="153">
          <cell r="P153" t="str">
            <v>PMU_USIM1_CLK</v>
          </cell>
        </row>
        <row r="154">
          <cell r="P154" t="str">
            <v>PMU_USIM1_RST</v>
          </cell>
        </row>
        <row r="155">
          <cell r="P155" t="str">
            <v>PMU_USIM1_DATA</v>
          </cell>
        </row>
        <row r="156">
          <cell r="P156" t="str">
            <v>PMU_USIM1_DETECT</v>
          </cell>
        </row>
        <row r="157">
          <cell r="P157" t="str">
            <v>MMC0_CLK</v>
          </cell>
        </row>
        <row r="158">
          <cell r="P158" t="str">
            <v>MMC0_CLK_FB_OUT</v>
          </cell>
        </row>
        <row r="159">
          <cell r="P159" t="str">
            <v>MMC0_CLK_FB_IN</v>
          </cell>
        </row>
        <row r="160">
          <cell r="P160" t="str">
            <v>MMC0_CMD</v>
          </cell>
        </row>
        <row r="161">
          <cell r="P161" t="str">
            <v>MMC0_DATA0</v>
          </cell>
        </row>
        <row r="162">
          <cell r="P162" t="str">
            <v>MMC0_DATA1</v>
          </cell>
        </row>
        <row r="163">
          <cell r="P163" t="str">
            <v>MMC0_DATA2</v>
          </cell>
        </row>
        <row r="164">
          <cell r="P164" t="str">
            <v>MMC0_DATA3</v>
          </cell>
        </row>
        <row r="165">
          <cell r="P165" t="str">
            <v>MMC0_WP</v>
          </cell>
        </row>
        <row r="166">
          <cell r="P166" t="str">
            <v>MMC0_CARDIN_N</v>
          </cell>
        </row>
        <row r="167">
          <cell r="P167" t="str">
            <v>MMC1_CLK</v>
          </cell>
        </row>
        <row r="168">
          <cell r="P168" t="str">
            <v>MMC1_CLK_FB_OUT</v>
          </cell>
        </row>
        <row r="169">
          <cell r="P169" t="str">
            <v>MMC1_CLK_FB_IN</v>
          </cell>
        </row>
        <row r="170">
          <cell r="P170" t="str">
            <v>MMC1_CMD</v>
          </cell>
        </row>
        <row r="171">
          <cell r="P171" t="str">
            <v>MMC1_DATA0</v>
          </cell>
        </row>
        <row r="172">
          <cell r="P172" t="str">
            <v>MMC1_DATA1</v>
          </cell>
        </row>
        <row r="173">
          <cell r="P173" t="str">
            <v>MMC1_DATA2</v>
          </cell>
        </row>
        <row r="174">
          <cell r="P174" t="str">
            <v>MMC1_DATA3</v>
          </cell>
        </row>
        <row r="175">
          <cell r="P175" t="str">
            <v>MMC1_WP</v>
          </cell>
        </row>
        <row r="176">
          <cell r="P176" t="str">
            <v>MMC1_CARDIN_N</v>
          </cell>
        </row>
        <row r="177">
          <cell r="P177" t="str">
            <v>MMC2_CLK</v>
          </cell>
        </row>
        <row r="178">
          <cell r="P178" t="str">
            <v>MMC2_CLK_FB_OUT</v>
          </cell>
        </row>
        <row r="179">
          <cell r="P179" t="str">
            <v>MMC2_CLK_FB_IN</v>
          </cell>
        </row>
        <row r="180">
          <cell r="P180" t="str">
            <v>MMC2_CMD</v>
          </cell>
        </row>
        <row r="181">
          <cell r="P181" t="str">
            <v>MMC2_DATA0</v>
          </cell>
        </row>
        <row r="182">
          <cell r="P182" t="str">
            <v>MMC2_DATA1</v>
          </cell>
        </row>
        <row r="183">
          <cell r="P183" t="str">
            <v>MMC2_DATA2</v>
          </cell>
        </row>
        <row r="184">
          <cell r="P184" t="str">
            <v>MMC2_DATA3</v>
          </cell>
        </row>
        <row r="185">
          <cell r="P185" t="str">
            <v>MMC2_WP</v>
          </cell>
        </row>
        <row r="186">
          <cell r="P186" t="str">
            <v>MMC2_CARDIN_N</v>
          </cell>
        </row>
        <row r="187">
          <cell r="P187" t="str">
            <v>SDIO_CLK</v>
          </cell>
        </row>
        <row r="188">
          <cell r="P188" t="str">
            <v>SDIO_CMD</v>
          </cell>
        </row>
        <row r="189">
          <cell r="P189" t="str">
            <v>SDIO_DATA0</v>
          </cell>
        </row>
        <row r="190">
          <cell r="P190" t="str">
            <v>SDIO_DATA1</v>
          </cell>
        </row>
        <row r="191">
          <cell r="P191" t="str">
            <v>SDIO_DATA2</v>
          </cell>
        </row>
        <row r="192">
          <cell r="P192" t="str">
            <v>SDIO_DATA3</v>
          </cell>
        </row>
        <row r="193">
          <cell r="P193" t="str">
            <v>I2C_SCL</v>
          </cell>
        </row>
        <row r="194">
          <cell r="P194" t="str">
            <v>I2C_SDA</v>
          </cell>
        </row>
        <row r="195">
          <cell r="P195" t="str">
            <v>SSP0_CS0_N</v>
          </cell>
        </row>
        <row r="196">
          <cell r="P196" t="str">
            <v>SSP0_CS1_N</v>
          </cell>
        </row>
        <row r="197">
          <cell r="P197" t="str">
            <v>SSP0_CLK_OUT</v>
          </cell>
        </row>
        <row r="198">
          <cell r="P198" t="str">
            <v>SSP0_SDIO</v>
          </cell>
        </row>
        <row r="199">
          <cell r="P199" t="str">
            <v>SSP0_SDO</v>
          </cell>
        </row>
        <row r="200">
          <cell r="P200" t="str">
            <v>SSP1_CS0_N</v>
          </cell>
        </row>
        <row r="201">
          <cell r="P201" t="str">
            <v>SSP1_CS1_N</v>
          </cell>
        </row>
        <row r="202">
          <cell r="P202" t="str">
            <v>SSP1_CLK_OUT</v>
          </cell>
        </row>
        <row r="203">
          <cell r="P203" t="str">
            <v>SSP1_SDIO</v>
          </cell>
        </row>
        <row r="204">
          <cell r="P204" t="str">
            <v>SSP1_SDO</v>
          </cell>
        </row>
        <row r="205">
          <cell r="P205" t="str">
            <v>SSI0</v>
          </cell>
        </row>
        <row r="206">
          <cell r="P206" t="str">
            <v>SSI1</v>
          </cell>
        </row>
        <row r="207">
          <cell r="P207" t="str">
            <v>UART0_TXD</v>
          </cell>
        </row>
        <row r="208">
          <cell r="P208" t="str">
            <v>UART0_RXD</v>
          </cell>
        </row>
        <row r="209">
          <cell r="P209" t="str">
            <v>UART1_TXD</v>
          </cell>
        </row>
        <row r="210">
          <cell r="P210" t="str">
            <v>UART1_RXD</v>
          </cell>
        </row>
        <row r="211">
          <cell r="P211" t="str">
            <v>UART2_TXD</v>
          </cell>
        </row>
        <row r="212">
          <cell r="P212" t="str">
            <v>UART2_RXD</v>
          </cell>
        </row>
        <row r="213">
          <cell r="P213" t="str">
            <v>UART3_TXD</v>
          </cell>
        </row>
        <row r="214">
          <cell r="P214" t="str">
            <v>UART3_RXD</v>
          </cell>
        </row>
        <row r="215">
          <cell r="P215" t="str">
            <v>HS_UART_TXD</v>
          </cell>
        </row>
        <row r="216">
          <cell r="P216" t="str">
            <v>HS_UART_RXD</v>
          </cell>
        </row>
        <row r="217">
          <cell r="P217" t="str">
            <v>HS_UART_RTS_N</v>
          </cell>
        </row>
        <row r="218">
          <cell r="P218" t="str">
            <v>HS_UART_CTS_N</v>
          </cell>
        </row>
        <row r="219">
          <cell r="P219" t="str">
            <v>LTE_PCM_CLK</v>
          </cell>
        </row>
        <row r="220">
          <cell r="P220" t="str">
            <v>LTE_PCM_SYNC</v>
          </cell>
        </row>
        <row r="221">
          <cell r="P221" t="str">
            <v>LTE_PCM_DI</v>
          </cell>
        </row>
        <row r="222">
          <cell r="P222" t="str">
            <v>LTE_PCM_DO</v>
          </cell>
        </row>
        <row r="223">
          <cell r="P223" t="str">
            <v>LCD_RST_N</v>
          </cell>
        </row>
        <row r="224">
          <cell r="P224" t="str">
            <v>LCD_CS_N</v>
          </cell>
        </row>
        <row r="225">
          <cell r="P225" t="str">
            <v>LCD_WR_N</v>
          </cell>
        </row>
        <row r="226">
          <cell r="P226" t="str">
            <v>LCD_RD_N</v>
          </cell>
        </row>
        <row r="227">
          <cell r="P227" t="str">
            <v>LCD_DC</v>
          </cell>
        </row>
        <row r="228">
          <cell r="P228" t="str">
            <v>LCD_D0</v>
          </cell>
        </row>
        <row r="229">
          <cell r="P229" t="str">
            <v>LCD_D1</v>
          </cell>
        </row>
        <row r="230">
          <cell r="P230" t="str">
            <v>LCD_D2</v>
          </cell>
        </row>
        <row r="231">
          <cell r="P231" t="str">
            <v>LCD_D3</v>
          </cell>
        </row>
        <row r="232">
          <cell r="P232" t="str">
            <v>LCD_D4</v>
          </cell>
        </row>
        <row r="233">
          <cell r="P233" t="str">
            <v>LCD_D5</v>
          </cell>
        </row>
        <row r="234">
          <cell r="P234" t="str">
            <v>LCD_D6</v>
          </cell>
        </row>
        <row r="235">
          <cell r="P235" t="str">
            <v>LCD_D7</v>
          </cell>
        </row>
        <row r="236">
          <cell r="P236" t="str">
            <v>LCD_D8</v>
          </cell>
        </row>
        <row r="237">
          <cell r="P237" t="str">
            <v>LCD_D9</v>
          </cell>
        </row>
        <row r="238">
          <cell r="P238" t="str">
            <v>LCD_D10</v>
          </cell>
        </row>
        <row r="239">
          <cell r="P239" t="str">
            <v>LCD_D11</v>
          </cell>
        </row>
        <row r="240">
          <cell r="P240" t="str">
            <v>LCD_D12</v>
          </cell>
        </row>
        <row r="241">
          <cell r="P241" t="str">
            <v>LCD_D13</v>
          </cell>
        </row>
        <row r="242">
          <cell r="P242" t="str">
            <v>LCD_D14</v>
          </cell>
        </row>
        <row r="243">
          <cell r="P243" t="str">
            <v>LCD_D15</v>
          </cell>
        </row>
        <row r="244">
          <cell r="P244" t="str">
            <v>GMII_RX_CLK</v>
          </cell>
        </row>
        <row r="245">
          <cell r="P245" t="str">
            <v>GMII_TX_CLK</v>
          </cell>
        </row>
        <row r="246">
          <cell r="P246" t="str">
            <v>GMII_CLK_125</v>
          </cell>
        </row>
        <row r="247">
          <cell r="P247" t="str">
            <v>GMII_GTXCLK</v>
          </cell>
        </row>
        <row r="248">
          <cell r="P248" t="str">
            <v>GMII_TXEN</v>
          </cell>
        </row>
        <row r="249">
          <cell r="P249" t="str">
            <v>GMII_TXER</v>
          </cell>
        </row>
        <row r="250">
          <cell r="P250" t="str">
            <v>GMII_TXD0</v>
          </cell>
        </row>
        <row r="251">
          <cell r="P251" t="str">
            <v>GMII_TXD1</v>
          </cell>
        </row>
        <row r="252">
          <cell r="P252" t="str">
            <v>GMII_TXD2</v>
          </cell>
        </row>
        <row r="253">
          <cell r="P253" t="str">
            <v>GMII_TXD3</v>
          </cell>
        </row>
        <row r="254">
          <cell r="P254" t="str">
            <v>GMII_TXD4</v>
          </cell>
        </row>
        <row r="255">
          <cell r="P255" t="str">
            <v>GMII_TXD5</v>
          </cell>
        </row>
        <row r="256">
          <cell r="P256" t="str">
            <v>GMII_TXD6</v>
          </cell>
        </row>
        <row r="257">
          <cell r="P257" t="str">
            <v>GMII_TXD7</v>
          </cell>
        </row>
        <row r="258">
          <cell r="P258" t="str">
            <v>GMII_RXDV</v>
          </cell>
        </row>
        <row r="259">
          <cell r="P259" t="str">
            <v>GMII_RXCRS</v>
          </cell>
        </row>
        <row r="260">
          <cell r="P260" t="str">
            <v>GMII_RXER</v>
          </cell>
        </row>
        <row r="261">
          <cell r="P261" t="str">
            <v>GMII_COL</v>
          </cell>
        </row>
        <row r="262">
          <cell r="P262" t="str">
            <v>GMII_RXD0</v>
          </cell>
        </row>
        <row r="263">
          <cell r="P263" t="str">
            <v>GMII_RXD1</v>
          </cell>
        </row>
        <row r="264">
          <cell r="P264" t="str">
            <v>GMII_RXD2</v>
          </cell>
        </row>
        <row r="265">
          <cell r="P265" t="str">
            <v>GMII_RXD3</v>
          </cell>
        </row>
        <row r="266">
          <cell r="P266" t="str">
            <v>GMII_RXD4</v>
          </cell>
        </row>
        <row r="267">
          <cell r="P267" t="str">
            <v>GMII_RXD5</v>
          </cell>
        </row>
        <row r="268">
          <cell r="P268" t="str">
            <v>GMII_RXD6</v>
          </cell>
        </row>
        <row r="269">
          <cell r="P269" t="str">
            <v>GMII_RXD7</v>
          </cell>
        </row>
        <row r="270">
          <cell r="P270" t="str">
            <v>GMII_MDIO</v>
          </cell>
        </row>
        <row r="271">
          <cell r="P271" t="str">
            <v>GMII_MDC</v>
          </cell>
        </row>
        <row r="272">
          <cell r="P272" t="str">
            <v>TP_DO0</v>
          </cell>
        </row>
        <row r="273">
          <cell r="P273" t="str">
            <v>TP_DO1</v>
          </cell>
        </row>
        <row r="274">
          <cell r="P274" t="str">
            <v>TP_DO2</v>
          </cell>
        </row>
        <row r="275">
          <cell r="P275" t="str">
            <v>TP_DO3</v>
          </cell>
        </row>
        <row r="276">
          <cell r="P276" t="str">
            <v>TP_DO4</v>
          </cell>
        </row>
        <row r="277">
          <cell r="P277" t="str">
            <v>TP_DO5</v>
          </cell>
        </row>
        <row r="278">
          <cell r="P278" t="str">
            <v>TP_DO6</v>
          </cell>
        </row>
        <row r="279">
          <cell r="P279" t="str">
            <v>TP_DO7</v>
          </cell>
        </row>
        <row r="280">
          <cell r="P280" t="str">
            <v>TP_DO8</v>
          </cell>
        </row>
        <row r="281">
          <cell r="P281" t="str">
            <v>TP_DO9</v>
          </cell>
        </row>
        <row r="282">
          <cell r="P282" t="str">
            <v>TP_DO10</v>
          </cell>
        </row>
        <row r="283">
          <cell r="P283" t="str">
            <v>TP_DO11</v>
          </cell>
        </row>
        <row r="284">
          <cell r="P284" t="str">
            <v>TP_DO12</v>
          </cell>
        </row>
        <row r="285">
          <cell r="P285" t="str">
            <v>TP_DO13</v>
          </cell>
        </row>
        <row r="286">
          <cell r="P286" t="str">
            <v>TP_DO14</v>
          </cell>
        </row>
        <row r="287">
          <cell r="P287" t="str">
            <v>TP_DO15</v>
          </cell>
        </row>
        <row r="288">
          <cell r="P288" t="str">
            <v>TP_CLK</v>
          </cell>
        </row>
        <row r="289">
          <cell r="P289" t="str">
            <v>TP_CTL</v>
          </cell>
        </row>
        <row r="290">
          <cell r="P290" t="str">
            <v>LTE_RX_MCLK</v>
          </cell>
        </row>
        <row r="291">
          <cell r="P291" t="str">
            <v>LTE_RX_SYNC</v>
          </cell>
        </row>
        <row r="292">
          <cell r="P292" t="str">
            <v>LTE_RXA_DATA0</v>
          </cell>
        </row>
        <row r="293">
          <cell r="P293" t="str">
            <v>LTE_RXA_DATA1</v>
          </cell>
        </row>
        <row r="294">
          <cell r="P294" t="str">
            <v>LTE_RXA_DATA2</v>
          </cell>
        </row>
        <row r="295">
          <cell r="P295" t="str">
            <v>LTE_RXA_DATA3</v>
          </cell>
        </row>
        <row r="296">
          <cell r="P296" t="str">
            <v>LTE_RXA_DATA4</v>
          </cell>
        </row>
        <row r="297">
          <cell r="P297" t="str">
            <v>LTE_RXA_DATA5</v>
          </cell>
        </row>
        <row r="298">
          <cell r="P298" t="str">
            <v>LTE_RXA_DATA6</v>
          </cell>
        </row>
        <row r="299">
          <cell r="P299" t="str">
            <v>LTE_RXB_DATA0</v>
          </cell>
        </row>
        <row r="300">
          <cell r="P300" t="str">
            <v>LTE_RXB_DATA1</v>
          </cell>
        </row>
        <row r="301">
          <cell r="P301" t="str">
            <v>LTE_RXB_DATA2</v>
          </cell>
        </row>
        <row r="302">
          <cell r="P302" t="str">
            <v>LTE_RXB_DATA3</v>
          </cell>
        </row>
        <row r="303">
          <cell r="P303" t="str">
            <v>LTE_RXB_DATA4</v>
          </cell>
        </row>
        <row r="304">
          <cell r="P304" t="str">
            <v>LTE_RXB_DATA5</v>
          </cell>
        </row>
        <row r="305">
          <cell r="P305" t="str">
            <v>LTE_RXB_DATA6</v>
          </cell>
        </row>
        <row r="306">
          <cell r="P306" t="str">
            <v>LTE_TX_CLK</v>
          </cell>
        </row>
        <row r="307">
          <cell r="P307" t="str">
            <v>LTE_TX_SYNC</v>
          </cell>
        </row>
        <row r="308">
          <cell r="P308" t="str">
            <v>LTE_TXA_DATA0</v>
          </cell>
        </row>
        <row r="309">
          <cell r="P309" t="str">
            <v>LTE_TXA_DATA1</v>
          </cell>
        </row>
        <row r="310">
          <cell r="P310" t="str">
            <v>LTE_TXA_DATA2</v>
          </cell>
        </row>
        <row r="311">
          <cell r="P311" t="str">
            <v>LTE_TXA_DATA3</v>
          </cell>
        </row>
        <row r="312">
          <cell r="P312" t="str">
            <v>LTE_TXA_DATA4</v>
          </cell>
        </row>
        <row r="313">
          <cell r="P313" t="str">
            <v>LTE_TXA_DATA5</v>
          </cell>
        </row>
        <row r="314">
          <cell r="P314" t="str">
            <v>LTE_TXA_DATA6</v>
          </cell>
        </row>
        <row r="315">
          <cell r="P315" t="str">
            <v>LTE_RXA_EN</v>
          </cell>
        </row>
        <row r="316">
          <cell r="P316" t="str">
            <v>LTE_RXB_EN</v>
          </cell>
        </row>
        <row r="317">
          <cell r="P317" t="str">
            <v>LTE_TX_EN</v>
          </cell>
        </row>
        <row r="318">
          <cell r="P318" t="str">
            <v>LTE_RXA_BLK_EN</v>
          </cell>
        </row>
        <row r="319">
          <cell r="P319" t="str">
            <v>LTE_RXB_BLK_EN</v>
          </cell>
        </row>
        <row r="320">
          <cell r="P320" t="str">
            <v>LTE_AUXDAC1_EN</v>
          </cell>
        </row>
        <row r="321">
          <cell r="P321" t="str">
            <v>LTE_AUXDAC2_EN</v>
          </cell>
        </row>
        <row r="322">
          <cell r="P322" t="str">
            <v>LTE_SSI_AUXDAC</v>
          </cell>
        </row>
        <row r="323">
          <cell r="P323" t="str">
            <v>LTE_AUXDAC1</v>
          </cell>
        </row>
        <row r="324">
          <cell r="P324" t="str">
            <v>LTE_AUXDAC2</v>
          </cell>
        </row>
        <row r="325">
          <cell r="P325" t="str">
            <v>WG_RX_MCLK</v>
          </cell>
        </row>
        <row r="326">
          <cell r="P326" t="str">
            <v>WG_RX_SYNC</v>
          </cell>
        </row>
        <row r="327">
          <cell r="P327" t="str">
            <v>WG_RXA_DATA0</v>
          </cell>
        </row>
        <row r="328">
          <cell r="P328" t="str">
            <v>WG_RXA_DATA1</v>
          </cell>
        </row>
        <row r="329">
          <cell r="P329" t="str">
            <v>WG_RXA_DATA2</v>
          </cell>
        </row>
        <row r="330">
          <cell r="P330" t="str">
            <v>WG_RXA_DATA3</v>
          </cell>
        </row>
        <row r="331">
          <cell r="P331" t="str">
            <v>WG_RXA_DATA4</v>
          </cell>
        </row>
        <row r="332">
          <cell r="P332" t="str">
            <v>WG_RXA_DATA5</v>
          </cell>
        </row>
        <row r="333">
          <cell r="P333" t="str">
            <v>WG_RXA_DATA6</v>
          </cell>
        </row>
        <row r="334">
          <cell r="P334" t="str">
            <v>WG_RXB_DATA0</v>
          </cell>
        </row>
        <row r="335">
          <cell r="P335" t="str">
            <v>WG_RXB_DATA1</v>
          </cell>
        </row>
        <row r="336">
          <cell r="P336" t="str">
            <v>WG_RXB_DATA2</v>
          </cell>
        </row>
        <row r="337">
          <cell r="P337" t="str">
            <v>WG_RXB_DATA3</v>
          </cell>
        </row>
        <row r="338">
          <cell r="P338" t="str">
            <v>WG_RXB_DATA4</v>
          </cell>
        </row>
        <row r="339">
          <cell r="P339" t="str">
            <v>WG_RXB_DATA5</v>
          </cell>
        </row>
        <row r="340">
          <cell r="P340" t="str">
            <v>WG_RXB_DATA6</v>
          </cell>
        </row>
        <row r="341">
          <cell r="P341" t="str">
            <v>WG_TX_MCLK</v>
          </cell>
        </row>
        <row r="342">
          <cell r="P342" t="str">
            <v>WG_TX_SYNC</v>
          </cell>
        </row>
        <row r="343">
          <cell r="P343" t="str">
            <v>WG_TXA_DATA0</v>
          </cell>
        </row>
        <row r="344">
          <cell r="P344" t="str">
            <v>WG_TXA_DATA1</v>
          </cell>
        </row>
        <row r="345">
          <cell r="P345" t="str">
            <v>WG_TXA_DATA2</v>
          </cell>
        </row>
        <row r="346">
          <cell r="P346" t="str">
            <v>WG_TXA_DATA3</v>
          </cell>
        </row>
        <row r="347">
          <cell r="P347" t="str">
            <v>WG_TXA_DATA4</v>
          </cell>
        </row>
        <row r="348">
          <cell r="P348" t="str">
            <v>WG_TXA_DATA5</v>
          </cell>
        </row>
        <row r="349">
          <cell r="P349" t="str">
            <v>WG_TXA_DATA6</v>
          </cell>
        </row>
        <row r="350">
          <cell r="P350" t="str">
            <v>W_RXA_EN</v>
          </cell>
        </row>
        <row r="351">
          <cell r="P351" t="str">
            <v>W_RXB_EN</v>
          </cell>
        </row>
        <row r="352">
          <cell r="P352" t="str">
            <v>W_TX_EN</v>
          </cell>
        </row>
        <row r="353">
          <cell r="P353" t="str">
            <v>G_RXA_EN</v>
          </cell>
        </row>
        <row r="354">
          <cell r="P354" t="str">
            <v>G_RXB_EN</v>
          </cell>
        </row>
        <row r="355">
          <cell r="P355" t="str">
            <v>G_TX_EN</v>
          </cell>
        </row>
        <row r="356">
          <cell r="P356" t="str">
            <v>WG_RXA_BLK_EN</v>
          </cell>
        </row>
        <row r="357">
          <cell r="P357" t="str">
            <v>WG_RXB_BLK_EN</v>
          </cell>
        </row>
        <row r="358">
          <cell r="P358" t="str">
            <v>WG_AUXDAC1_EN</v>
          </cell>
        </row>
        <row r="359">
          <cell r="P359" t="str">
            <v>WG_AUXDAC2_EN</v>
          </cell>
        </row>
        <row r="360">
          <cell r="P360" t="str">
            <v>SSI_ABB</v>
          </cell>
        </row>
        <row r="361">
          <cell r="P361" t="str">
            <v>WG_SSI_HKADC</v>
          </cell>
        </row>
        <row r="362">
          <cell r="P362" t="str">
            <v>WG_SSI_AUXDAC</v>
          </cell>
        </row>
        <row r="363">
          <cell r="P363" t="str">
            <v>WG_AUXDAC1</v>
          </cell>
        </row>
        <row r="364">
          <cell r="P364" t="str">
            <v>WG_AUXDAC2</v>
          </cell>
        </row>
        <row r="365">
          <cell r="P365" t="str">
            <v>ABB_RST_N</v>
          </cell>
        </row>
        <row r="366">
          <cell r="P366" t="str">
            <v>ABB_VREF</v>
          </cell>
        </row>
        <row r="367">
          <cell r="P367" t="str">
            <v>LTE_RXA_I_P</v>
          </cell>
        </row>
        <row r="368">
          <cell r="P368" t="str">
            <v>LTE_RXA_I_N</v>
          </cell>
        </row>
        <row r="369">
          <cell r="P369" t="str">
            <v>LTE_RXA_Q_P</v>
          </cell>
        </row>
        <row r="370">
          <cell r="P370" t="str">
            <v>LTE_RXA_Q_N</v>
          </cell>
        </row>
        <row r="371">
          <cell r="P371" t="str">
            <v>LTE_RXB_I_P</v>
          </cell>
        </row>
        <row r="372">
          <cell r="P372" t="str">
            <v>LTE_RXB_I_N</v>
          </cell>
        </row>
        <row r="373">
          <cell r="P373" t="str">
            <v>LTE_RXB_Q_P</v>
          </cell>
        </row>
        <row r="374">
          <cell r="P374" t="str">
            <v>LTE_RXB_Q_N</v>
          </cell>
        </row>
        <row r="375">
          <cell r="P375" t="str">
            <v>LTE_TXA_I_P</v>
          </cell>
        </row>
        <row r="376">
          <cell r="P376" t="str">
            <v>LTE_TXA_I_N</v>
          </cell>
        </row>
        <row r="377">
          <cell r="P377" t="str">
            <v>LTE_TXA_Q_P</v>
          </cell>
        </row>
        <row r="378">
          <cell r="P378" t="str">
            <v>LTE_TXA_Q_N</v>
          </cell>
        </row>
        <row r="379">
          <cell r="P379" t="str">
            <v>WG_RXA_I_P</v>
          </cell>
        </row>
        <row r="380">
          <cell r="P380" t="str">
            <v>WG_RXA_I_N</v>
          </cell>
        </row>
        <row r="381">
          <cell r="P381" t="str">
            <v>WG_RXA_Q_P</v>
          </cell>
        </row>
        <row r="382">
          <cell r="P382" t="str">
            <v>WG_RXA_Q_N</v>
          </cell>
        </row>
        <row r="383">
          <cell r="P383" t="str">
            <v>WG_RXB_I_P</v>
          </cell>
        </row>
        <row r="384">
          <cell r="P384" t="str">
            <v>WG_RXB_I_N</v>
          </cell>
        </row>
        <row r="385">
          <cell r="P385" t="str">
            <v>WG_RXB_Q_P</v>
          </cell>
        </row>
        <row r="386">
          <cell r="P386" t="str">
            <v>WG_RXB_Q_N</v>
          </cell>
        </row>
        <row r="387">
          <cell r="P387" t="str">
            <v>WG_TXA_I_P</v>
          </cell>
        </row>
        <row r="388">
          <cell r="P388" t="str">
            <v>WG_TXA_I_N</v>
          </cell>
        </row>
        <row r="389">
          <cell r="P389" t="str">
            <v>WG_TXA_Q_P</v>
          </cell>
        </row>
        <row r="390">
          <cell r="P390" t="str">
            <v>WG_TXA_Q_N</v>
          </cell>
        </row>
        <row r="391">
          <cell r="P391" t="str">
            <v>WG_HKADC0</v>
          </cell>
        </row>
        <row r="392">
          <cell r="P392" t="str">
            <v>WG_HKADC1</v>
          </cell>
        </row>
        <row r="393">
          <cell r="P393" t="str">
            <v>WG_HKADC2</v>
          </cell>
        </row>
        <row r="394">
          <cell r="P394" t="str">
            <v>WG_HKADC3</v>
          </cell>
        </row>
        <row r="395">
          <cell r="P395" t="str">
            <v>WG_HKADC4</v>
          </cell>
        </row>
        <row r="396">
          <cell r="P396" t="str">
            <v>WG_HKADC5</v>
          </cell>
        </row>
        <row r="397">
          <cell r="P397" t="str">
            <v>WG_HKADC6</v>
          </cell>
        </row>
        <row r="398">
          <cell r="P398" t="str">
            <v>WG_HKADC7</v>
          </cell>
        </row>
        <row r="399">
          <cell r="P399" t="str">
            <v>WG_HKADC8</v>
          </cell>
        </row>
        <row r="400">
          <cell r="P400" t="str">
            <v>WG_HKADC9</v>
          </cell>
        </row>
        <row r="401">
          <cell r="P401" t="str">
            <v>LTE_RF_RST_N</v>
          </cell>
        </row>
        <row r="402">
          <cell r="P402" t="str">
            <v>LTE_RF_SSI_MODE</v>
          </cell>
        </row>
        <row r="403">
          <cell r="P403" t="str">
            <v>LTE_RF_CTRLEN_SSI_1</v>
          </cell>
        </row>
        <row r="404">
          <cell r="P404" t="str">
            <v>LTE_RF_CTRLDATA_SSI_2</v>
          </cell>
        </row>
        <row r="405">
          <cell r="P405" t="str">
            <v>LTE_RF_CTRLCLK</v>
          </cell>
        </row>
        <row r="406">
          <cell r="P406" t="str">
            <v>LTE_RF_TCVR_ON</v>
          </cell>
        </row>
        <row r="407">
          <cell r="P407" t="str">
            <v>LTE_RF_TX_EN</v>
          </cell>
        </row>
        <row r="408">
          <cell r="P408" t="str">
            <v>LTE_RF_XO_MODE</v>
          </cell>
        </row>
        <row r="409">
          <cell r="P409" t="str">
            <v>WG_RF_RST_N</v>
          </cell>
        </row>
        <row r="410">
          <cell r="P410" t="str">
            <v>WG_RF_SSI_MODE</v>
          </cell>
        </row>
        <row r="411">
          <cell r="P411" t="str">
            <v>WG_RF_CTRLEN_SSI_1</v>
          </cell>
        </row>
        <row r="412">
          <cell r="P412" t="str">
            <v>WG_RF_CTRLDATA_SSI_2</v>
          </cell>
        </row>
        <row r="413">
          <cell r="P413" t="str">
            <v>WG_RF_CTRLCLK</v>
          </cell>
        </row>
        <row r="414">
          <cell r="P414" t="str">
            <v>WG_RF_TCVR_ON</v>
          </cell>
        </row>
        <row r="415">
          <cell r="P415" t="str">
            <v>WG_RF_TX_EN</v>
          </cell>
        </row>
        <row r="416">
          <cell r="P416" t="str">
            <v>WG_RF_XO_MODE</v>
          </cell>
        </row>
        <row r="417">
          <cell r="P417" t="str">
            <v>WG_SIGE_HSMODE</v>
          </cell>
        </row>
        <row r="418">
          <cell r="P418" t="str">
            <v>WG_SIGE_SENB_RX</v>
          </cell>
        </row>
        <row r="419">
          <cell r="P419" t="str">
            <v>WG_SIGE_SENB_TX</v>
          </cell>
        </row>
        <row r="420">
          <cell r="P420" t="str">
            <v>WG_SIGE_SDATA</v>
          </cell>
        </row>
        <row r="421">
          <cell r="P421" t="str">
            <v>WG_SIGE_SCLK</v>
          </cell>
        </row>
        <row r="422">
          <cell r="P422" t="str">
            <v>WG_SIGE_RX_ON</v>
          </cell>
        </row>
        <row r="423">
          <cell r="P423" t="str">
            <v>WG_SIGE_TX_ON</v>
          </cell>
        </row>
        <row r="424">
          <cell r="P424" t="str">
            <v>WG_SIGE_TX_IDLE</v>
          </cell>
        </row>
        <row r="425">
          <cell r="P425" t="str">
            <v>LTE_PDM</v>
          </cell>
        </row>
        <row r="426">
          <cell r="P426" t="str">
            <v>WG_PDM</v>
          </cell>
        </row>
        <row r="427">
          <cell r="P427" t="str">
            <v>APT_PDM</v>
          </cell>
        </row>
        <row r="428">
          <cell r="P428" t="str">
            <v>PA_ON0</v>
          </cell>
        </row>
        <row r="429">
          <cell r="P429" t="str">
            <v>PA_ON1</v>
          </cell>
        </row>
        <row r="430">
          <cell r="P430" t="str">
            <v>PA_ON2</v>
          </cell>
        </row>
        <row r="431">
          <cell r="P431" t="str">
            <v>PA_ON3</v>
          </cell>
        </row>
        <row r="432">
          <cell r="P432" t="str">
            <v>PA_ON4</v>
          </cell>
        </row>
        <row r="433">
          <cell r="P433" t="str">
            <v>PA_ON5</v>
          </cell>
        </row>
        <row r="434">
          <cell r="P434" t="str">
            <v>PA_ATT0</v>
          </cell>
        </row>
        <row r="435">
          <cell r="P435" t="str">
            <v>PA_ATT1</v>
          </cell>
        </row>
        <row r="436">
          <cell r="P436" t="str">
            <v>GSM_PA_HB_EN</v>
          </cell>
        </row>
        <row r="437">
          <cell r="P437" t="str">
            <v>GSM_PA_LB_EN</v>
          </cell>
        </row>
        <row r="438">
          <cell r="P438" t="str">
            <v>P_ANT_SEL0</v>
          </cell>
        </row>
        <row r="439">
          <cell r="P439" t="str">
            <v>P_ANT_SEL1</v>
          </cell>
        </row>
        <row r="440">
          <cell r="P440" t="str">
            <v>P_ANT_SEL2</v>
          </cell>
        </row>
        <row r="441">
          <cell r="P441" t="str">
            <v>P_ANT_SEL3</v>
          </cell>
        </row>
        <row r="442">
          <cell r="P442" t="str">
            <v>D_ANT_SEL0</v>
          </cell>
        </row>
        <row r="443">
          <cell r="P443" t="str">
            <v>D_ANT_SEL1</v>
          </cell>
        </row>
        <row r="444">
          <cell r="P444" t="str">
            <v>D_ANT_SEL2</v>
          </cell>
        </row>
        <row r="445">
          <cell r="P445" t="str">
            <v>D_ANT_SEL3</v>
          </cell>
        </row>
        <row r="446">
          <cell r="P446" t="str">
            <v>GRFC0</v>
          </cell>
        </row>
        <row r="447">
          <cell r="P447" t="str">
            <v>GRFC1</v>
          </cell>
        </row>
        <row r="448">
          <cell r="P448" t="str">
            <v>GRFC2</v>
          </cell>
        </row>
        <row r="449">
          <cell r="P449" t="str">
            <v>GRFC3</v>
          </cell>
        </row>
        <row r="450">
          <cell r="P450" t="str">
            <v>GRFC4</v>
          </cell>
        </row>
        <row r="451">
          <cell r="P451" t="str">
            <v>GRFC5</v>
          </cell>
        </row>
        <row r="452">
          <cell r="P452" t="str">
            <v>GRFC6</v>
          </cell>
        </row>
        <row r="453">
          <cell r="P453" t="str">
            <v>GRFC7</v>
          </cell>
        </row>
        <row r="454">
          <cell r="P454" t="str">
            <v>GPIO_0_00</v>
          </cell>
        </row>
        <row r="455">
          <cell r="P455" t="str">
            <v>GPIO_0_01</v>
          </cell>
        </row>
        <row r="456">
          <cell r="P456" t="str">
            <v>GPIO_0_02</v>
          </cell>
        </row>
        <row r="457">
          <cell r="P457" t="str">
            <v>GPIO_0_03</v>
          </cell>
        </row>
        <row r="458">
          <cell r="P458" t="str">
            <v>GPIO_0_04</v>
          </cell>
        </row>
        <row r="459">
          <cell r="P459" t="str">
            <v>GPIO_0_05</v>
          </cell>
        </row>
        <row r="460">
          <cell r="P460" t="str">
            <v>GPIO_0_06</v>
          </cell>
        </row>
        <row r="461">
          <cell r="P461" t="str">
            <v>GPIO_0_07</v>
          </cell>
        </row>
        <row r="462">
          <cell r="P462" t="str">
            <v>GPIO_0_08</v>
          </cell>
        </row>
        <row r="463">
          <cell r="P463" t="str">
            <v>GPIO_0_09</v>
          </cell>
        </row>
        <row r="464">
          <cell r="P464" t="str">
            <v>GPIO_0_10</v>
          </cell>
        </row>
        <row r="465">
          <cell r="P465" t="str">
            <v>GPIO_0_11</v>
          </cell>
        </row>
        <row r="466">
          <cell r="P466" t="str">
            <v>GPIO_0_12</v>
          </cell>
        </row>
        <row r="467">
          <cell r="P467" t="str">
            <v>GPIO_0_13</v>
          </cell>
        </row>
        <row r="468">
          <cell r="P468" t="str">
            <v>GPIO_0_14</v>
          </cell>
        </row>
        <row r="469">
          <cell r="P469" t="str">
            <v>GPIO_0_15</v>
          </cell>
        </row>
        <row r="470">
          <cell r="P470" t="str">
            <v>GPIO_0_16</v>
          </cell>
        </row>
        <row r="471">
          <cell r="P471" t="str">
            <v>GPIO_0_17</v>
          </cell>
        </row>
        <row r="472">
          <cell r="P472" t="str">
            <v>GPIO_0_18</v>
          </cell>
        </row>
        <row r="473">
          <cell r="P473" t="str">
            <v>GPIO_0_19</v>
          </cell>
        </row>
        <row r="474">
          <cell r="P474" t="str">
            <v>GPIO_0_20</v>
          </cell>
        </row>
        <row r="475">
          <cell r="P475" t="str">
            <v>GPIO_0_21</v>
          </cell>
        </row>
        <row r="476">
          <cell r="P476" t="str">
            <v>GPIO_0_22</v>
          </cell>
        </row>
        <row r="477">
          <cell r="P477" t="str">
            <v>GPIO_0_23</v>
          </cell>
        </row>
        <row r="478">
          <cell r="P478" t="str">
            <v>GPIO_0_24</v>
          </cell>
        </row>
        <row r="479">
          <cell r="P479" t="str">
            <v>GPIO_0_25</v>
          </cell>
        </row>
        <row r="480">
          <cell r="P480" t="str">
            <v>GPIO_0_26</v>
          </cell>
        </row>
        <row r="481">
          <cell r="P481" t="str">
            <v>GPIO_0_27</v>
          </cell>
        </row>
        <row r="482">
          <cell r="P482" t="str">
            <v>GPIO_0_28</v>
          </cell>
        </row>
        <row r="483">
          <cell r="P483" t="str">
            <v>GPIO_0_29</v>
          </cell>
        </row>
        <row r="484">
          <cell r="P484" t="str">
            <v>GPIO_0_30</v>
          </cell>
        </row>
        <row r="485">
          <cell r="P485" t="str">
            <v>GPIO_0_31</v>
          </cell>
        </row>
        <row r="486">
          <cell r="P486" t="str">
            <v>GPIO_1_00</v>
          </cell>
        </row>
        <row r="487">
          <cell r="P487" t="str">
            <v>GPIO_1_01</v>
          </cell>
        </row>
        <row r="488">
          <cell r="P488" t="str">
            <v>GPIO_1_02</v>
          </cell>
        </row>
        <row r="489">
          <cell r="P489" t="str">
            <v>GPIO_1_03</v>
          </cell>
        </row>
        <row r="490">
          <cell r="P490" t="str">
            <v>GPIO_1_04</v>
          </cell>
        </row>
        <row r="491">
          <cell r="P491" t="str">
            <v>GPIO_1_05</v>
          </cell>
        </row>
        <row r="492">
          <cell r="P492" t="str">
            <v>GPIO_1_06</v>
          </cell>
        </row>
        <row r="493">
          <cell r="P493" t="str">
            <v>GPIO_1_07</v>
          </cell>
        </row>
        <row r="494">
          <cell r="P494" t="str">
            <v>GPIO_1_08</v>
          </cell>
        </row>
        <row r="495">
          <cell r="P495" t="str">
            <v>GPIO_1_09</v>
          </cell>
        </row>
        <row r="496">
          <cell r="P496" t="str">
            <v>GPIO_1_10</v>
          </cell>
        </row>
        <row r="497">
          <cell r="P497" t="str">
            <v>GPIO_1_11</v>
          </cell>
        </row>
        <row r="498">
          <cell r="P498" t="str">
            <v>GPIO_1_12</v>
          </cell>
        </row>
        <row r="499">
          <cell r="P499" t="str">
            <v>GPIO_1_13</v>
          </cell>
        </row>
        <row r="500">
          <cell r="P500" t="str">
            <v>GPIO_1_14</v>
          </cell>
        </row>
        <row r="501">
          <cell r="P501" t="str">
            <v>GPIO_1_15</v>
          </cell>
        </row>
        <row r="502">
          <cell r="P502" t="str">
            <v>GPIO_1_16</v>
          </cell>
        </row>
        <row r="503">
          <cell r="P503" t="str">
            <v>GPIO_1_17</v>
          </cell>
        </row>
        <row r="504">
          <cell r="P504" t="str">
            <v>GPIO_1_18</v>
          </cell>
        </row>
        <row r="505">
          <cell r="P505" t="str">
            <v>GPIO_1_19</v>
          </cell>
        </row>
        <row r="506">
          <cell r="P506" t="str">
            <v>GPIO_1_20</v>
          </cell>
        </row>
        <row r="507">
          <cell r="P507" t="str">
            <v>GPIO_1_21</v>
          </cell>
        </row>
        <row r="508">
          <cell r="P508" t="str">
            <v>GPIO_1_22</v>
          </cell>
        </row>
        <row r="509">
          <cell r="P509" t="str">
            <v>GPIO_1_23</v>
          </cell>
        </row>
        <row r="510">
          <cell r="P510" t="str">
            <v>GPIO_1_24</v>
          </cell>
        </row>
        <row r="511">
          <cell r="P511" t="str">
            <v>GPIO_1_25</v>
          </cell>
        </row>
        <row r="512">
          <cell r="P512" t="str">
            <v>GPIO_1_26</v>
          </cell>
        </row>
        <row r="513">
          <cell r="P513" t="str">
            <v>GPIO_1_27</v>
          </cell>
        </row>
        <row r="514">
          <cell r="P514" t="str">
            <v>GPIO_1_28</v>
          </cell>
        </row>
        <row r="515">
          <cell r="P515" t="str">
            <v>GPIO_1_29</v>
          </cell>
        </row>
        <row r="516">
          <cell r="P516" t="str">
            <v>GPIO_1_30</v>
          </cell>
        </row>
        <row r="517">
          <cell r="P517" t="str">
            <v>GPIO_1_31</v>
          </cell>
        </row>
        <row r="518">
          <cell r="P518" t="str">
            <v>GPIO_2_00</v>
          </cell>
        </row>
        <row r="519">
          <cell r="P519" t="str">
            <v>GPIO_2_01</v>
          </cell>
        </row>
        <row r="520">
          <cell r="P520" t="str">
            <v>GPIO_2_02</v>
          </cell>
        </row>
        <row r="521">
          <cell r="P521" t="str">
            <v>GPIO_2_03</v>
          </cell>
        </row>
        <row r="522">
          <cell r="P522" t="str">
            <v>GPIO_2_04</v>
          </cell>
        </row>
        <row r="523">
          <cell r="P523" t="str">
            <v>GPIO_2_05</v>
          </cell>
        </row>
        <row r="524">
          <cell r="P524" t="str">
            <v>GPIO_2_06</v>
          </cell>
        </row>
        <row r="525">
          <cell r="P525" t="str">
            <v>GPIO_2_07</v>
          </cell>
        </row>
        <row r="526">
          <cell r="P526" t="str">
            <v>GPIO_2_08</v>
          </cell>
        </row>
        <row r="527">
          <cell r="P527" t="str">
            <v>GPIO_2_09</v>
          </cell>
        </row>
        <row r="528">
          <cell r="P528" t="str">
            <v>GPIO_2_10</v>
          </cell>
        </row>
        <row r="529">
          <cell r="P529" t="str">
            <v>GPIO_2_11</v>
          </cell>
        </row>
        <row r="530">
          <cell r="P530" t="str">
            <v>GPIO_2_12</v>
          </cell>
        </row>
        <row r="531">
          <cell r="P531" t="str">
            <v>GPIO_2_13</v>
          </cell>
        </row>
        <row r="532">
          <cell r="P532" t="str">
            <v>GPIO_2_14</v>
          </cell>
        </row>
        <row r="533">
          <cell r="P533" t="str">
            <v>GPIO_2_15</v>
          </cell>
        </row>
        <row r="534">
          <cell r="P534" t="str">
            <v>GPIO_2_16</v>
          </cell>
        </row>
        <row r="535">
          <cell r="P535" t="str">
            <v>GPIO_2_17</v>
          </cell>
        </row>
        <row r="536">
          <cell r="P536" t="str">
            <v>GPIO_2_18</v>
          </cell>
        </row>
        <row r="537">
          <cell r="P537" t="str">
            <v>GPIO_2_19</v>
          </cell>
        </row>
        <row r="538">
          <cell r="P538" t="str">
            <v>GPIO_2_20</v>
          </cell>
        </row>
        <row r="539">
          <cell r="P539" t="str">
            <v>GPIO_2_21</v>
          </cell>
        </row>
        <row r="540">
          <cell r="P540" t="str">
            <v>GPIO_2_22</v>
          </cell>
        </row>
        <row r="541">
          <cell r="P541" t="str">
            <v>GPIO_2_23</v>
          </cell>
        </row>
        <row r="542">
          <cell r="P542" t="str">
            <v>GPIO_2_24</v>
          </cell>
        </row>
        <row r="543">
          <cell r="P543" t="str">
            <v>GPIO_2_25</v>
          </cell>
        </row>
        <row r="544">
          <cell r="P544" t="str">
            <v>GPIO_2_26</v>
          </cell>
        </row>
        <row r="545">
          <cell r="P545" t="str">
            <v>GPIO_2_27</v>
          </cell>
        </row>
        <row r="546">
          <cell r="P546" t="str">
            <v>GPIO_2_28</v>
          </cell>
        </row>
        <row r="547">
          <cell r="P547" t="str">
            <v>GPIO_2_29</v>
          </cell>
        </row>
        <row r="548">
          <cell r="P548" t="str">
            <v>GPIO_2_30</v>
          </cell>
        </row>
        <row r="549">
          <cell r="P549" t="str">
            <v>GPIO_2_31</v>
          </cell>
        </row>
        <row r="550">
          <cell r="P550" t="str">
            <v>GPIO_3_00</v>
          </cell>
        </row>
        <row r="551">
          <cell r="P551" t="str">
            <v>GPIO_3_01</v>
          </cell>
        </row>
        <row r="552">
          <cell r="P552" t="str">
            <v>GPIO_3_02</v>
          </cell>
        </row>
        <row r="553">
          <cell r="P553" t="str">
            <v>GPIO_3_03</v>
          </cell>
        </row>
        <row r="554">
          <cell r="P554" t="str">
            <v>GPIO_3_04</v>
          </cell>
        </row>
        <row r="555">
          <cell r="P555" t="str">
            <v>GPIO_3_05</v>
          </cell>
        </row>
        <row r="556">
          <cell r="P556" t="str">
            <v>GPIO_3_06</v>
          </cell>
        </row>
        <row r="557">
          <cell r="P557" t="str">
            <v>GPIO_3_07</v>
          </cell>
        </row>
        <row r="558">
          <cell r="P558" t="str">
            <v>GPIO_3_08</v>
          </cell>
        </row>
        <row r="559">
          <cell r="P559" t="str">
            <v>GPIO_3_09</v>
          </cell>
        </row>
        <row r="560">
          <cell r="P560" t="str">
            <v>GPIO_3_10</v>
          </cell>
        </row>
        <row r="561">
          <cell r="P561" t="str">
            <v>GPIO_3_11</v>
          </cell>
        </row>
        <row r="562">
          <cell r="P562" t="str">
            <v>GPIO_3_12</v>
          </cell>
        </row>
        <row r="563">
          <cell r="P563" t="str">
            <v>GPIO_3_13</v>
          </cell>
        </row>
        <row r="564">
          <cell r="P564" t="str">
            <v>GPIO_3_14</v>
          </cell>
        </row>
        <row r="565">
          <cell r="P565" t="str">
            <v>GPIO_3_15</v>
          </cell>
        </row>
        <row r="566">
          <cell r="P566" t="str">
            <v>GPIO_3_16</v>
          </cell>
        </row>
        <row r="567">
          <cell r="P567" t="str">
            <v>GPIO_3_17</v>
          </cell>
        </row>
        <row r="568">
          <cell r="P568" t="str">
            <v>GPIO_3_18</v>
          </cell>
        </row>
        <row r="569">
          <cell r="P569" t="str">
            <v>GPIO_3_19</v>
          </cell>
        </row>
        <row r="570">
          <cell r="P570" t="str">
            <v>GPIO_3_20</v>
          </cell>
        </row>
        <row r="571">
          <cell r="P571" t="str">
            <v>GPIO_3_21</v>
          </cell>
        </row>
        <row r="572">
          <cell r="P572" t="str">
            <v>GPIO_3_22</v>
          </cell>
        </row>
        <row r="573">
          <cell r="P573" t="str">
            <v>GPIO_3_23</v>
          </cell>
        </row>
        <row r="574">
          <cell r="P574" t="str">
            <v>GPIO_3_24</v>
          </cell>
        </row>
        <row r="575">
          <cell r="P575" t="str">
            <v>GPIO_3_25</v>
          </cell>
        </row>
        <row r="576">
          <cell r="P576" t="str">
            <v>GPIO_3_26</v>
          </cell>
        </row>
        <row r="577">
          <cell r="P577" t="str">
            <v>GPIO_3_27</v>
          </cell>
        </row>
        <row r="578">
          <cell r="P578" t="str">
            <v>GPIO_3_28</v>
          </cell>
        </row>
        <row r="579">
          <cell r="P579" t="str">
            <v>GPIO_3_29</v>
          </cell>
        </row>
        <row r="580">
          <cell r="P580" t="str">
            <v>GPIO_3_30</v>
          </cell>
        </row>
        <row r="581">
          <cell r="P581" t="str">
            <v>GPIO_3_31</v>
          </cell>
        </row>
        <row r="582">
          <cell r="P582" t="str">
            <v>utmi_rxdata0</v>
          </cell>
        </row>
        <row r="583">
          <cell r="P583" t="str">
            <v>utmi_rxdata1</v>
          </cell>
        </row>
        <row r="584">
          <cell r="P584" t="str">
            <v>utmi_rxdata2</v>
          </cell>
        </row>
        <row r="585">
          <cell r="P585" t="str">
            <v>utmi_rxdata3</v>
          </cell>
        </row>
        <row r="586">
          <cell r="P586" t="str">
            <v>utmi_rxdata4</v>
          </cell>
        </row>
        <row r="587">
          <cell r="P587" t="str">
            <v>utmi_rxdata5</v>
          </cell>
        </row>
        <row r="588">
          <cell r="P588" t="str">
            <v>utmi_rxdata6</v>
          </cell>
        </row>
        <row r="589">
          <cell r="P589" t="str">
            <v>utmi_rxdata7</v>
          </cell>
        </row>
        <row r="590">
          <cell r="P590" t="str">
            <v>utmi_rxdata8</v>
          </cell>
        </row>
        <row r="591">
          <cell r="P591" t="str">
            <v>utmi_rxdata9</v>
          </cell>
        </row>
        <row r="592">
          <cell r="P592" t="str">
            <v>utmi_rxdata10</v>
          </cell>
        </row>
        <row r="593">
          <cell r="P593" t="str">
            <v>utmi_rxdata11</v>
          </cell>
        </row>
        <row r="594">
          <cell r="P594" t="str">
            <v>utmi_rxdata12</v>
          </cell>
        </row>
        <row r="595">
          <cell r="P595" t="str">
            <v>utmi_rxdata13</v>
          </cell>
        </row>
        <row r="596">
          <cell r="P596" t="str">
            <v>utmi_rxdata14</v>
          </cell>
        </row>
        <row r="597">
          <cell r="P597" t="str">
            <v>utmi_rxdata15</v>
          </cell>
        </row>
        <row r="598">
          <cell r="P598" t="str">
            <v>utmi_clk</v>
          </cell>
        </row>
        <row r="599">
          <cell r="P599" t="str">
            <v>utmi_rxvalidh</v>
          </cell>
        </row>
        <row r="600">
          <cell r="P600" t="str">
            <v>utmi_rxvalid</v>
          </cell>
        </row>
        <row r="601">
          <cell r="P601" t="str">
            <v>utmi_rxactive</v>
          </cell>
        </row>
        <row r="602">
          <cell r="P602" t="str">
            <v>utmi_rxerror</v>
          </cell>
        </row>
        <row r="603">
          <cell r="P603" t="str">
            <v>utmi_linestate0</v>
          </cell>
        </row>
        <row r="604">
          <cell r="P604" t="str">
            <v>utmi_linestate1</v>
          </cell>
        </row>
        <row r="605">
          <cell r="P605" t="str">
            <v>utmi_txdata0</v>
          </cell>
        </row>
        <row r="606">
          <cell r="P606" t="str">
            <v>utmi_txdata1</v>
          </cell>
        </row>
        <row r="607">
          <cell r="P607" t="str">
            <v>utmi_txdata2</v>
          </cell>
        </row>
        <row r="608">
          <cell r="P608" t="str">
            <v>utmi_txdata3</v>
          </cell>
        </row>
        <row r="609">
          <cell r="P609" t="str">
            <v>utmi_txdata4</v>
          </cell>
        </row>
        <row r="610">
          <cell r="P610" t="str">
            <v>utmi_txdata5</v>
          </cell>
        </row>
        <row r="611">
          <cell r="P611" t="str">
            <v>utmi_txdata6</v>
          </cell>
        </row>
        <row r="612">
          <cell r="P612" t="str">
            <v>utmi_txdata7</v>
          </cell>
        </row>
        <row r="613">
          <cell r="P613" t="str">
            <v>utmi_txdata8</v>
          </cell>
        </row>
        <row r="614">
          <cell r="P614" t="str">
            <v>utmi_txdata9</v>
          </cell>
        </row>
        <row r="615">
          <cell r="P615" t="str">
            <v>utmi_txdata10</v>
          </cell>
        </row>
        <row r="616">
          <cell r="P616" t="str">
            <v>utmi_txdata11</v>
          </cell>
        </row>
        <row r="617">
          <cell r="P617" t="str">
            <v>utmi_txdata12</v>
          </cell>
        </row>
        <row r="618">
          <cell r="P618" t="str">
            <v>utmi_txdata13</v>
          </cell>
        </row>
        <row r="619">
          <cell r="P619" t="str">
            <v>utmi_txdata14</v>
          </cell>
        </row>
        <row r="620">
          <cell r="P620" t="str">
            <v>utmi_txdata15</v>
          </cell>
        </row>
        <row r="621">
          <cell r="P621" t="str">
            <v>utmi_txready</v>
          </cell>
        </row>
        <row r="622">
          <cell r="P622" t="str">
            <v>utmi_txvalidh</v>
          </cell>
        </row>
        <row r="623">
          <cell r="P623" t="str">
            <v>utmi_txvalid</v>
          </cell>
        </row>
        <row r="624">
          <cell r="P624" t="str">
            <v>utmi_opmode0</v>
          </cell>
        </row>
        <row r="625">
          <cell r="P625" t="str">
            <v>utmi_opmode1</v>
          </cell>
        </row>
        <row r="626">
          <cell r="P626" t="str">
            <v>utmi_suspend_n</v>
          </cell>
        </row>
        <row r="627">
          <cell r="P627" t="str">
            <v>utmi_sleep_n</v>
          </cell>
        </row>
        <row r="628">
          <cell r="P628" t="str">
            <v>utmi_l1_suspend_n</v>
          </cell>
        </row>
        <row r="629">
          <cell r="P629" t="str">
            <v>utmi_termslect</v>
          </cell>
        </row>
        <row r="630">
          <cell r="P630" t="str">
            <v>utmi_xcvrselect0</v>
          </cell>
        </row>
        <row r="631">
          <cell r="P631" t="str">
            <v>utmi_xcvrselect1</v>
          </cell>
        </row>
        <row r="632">
          <cell r="P632" t="str">
            <v>utmi_word_if</v>
          </cell>
        </row>
        <row r="633">
          <cell r="P633" t="str">
            <v>utmi_fsls_low_power</v>
          </cell>
        </row>
        <row r="634">
          <cell r="P634" t="str">
            <v>utmi_fslsserialmode</v>
          </cell>
        </row>
        <row r="635">
          <cell r="P635" t="str">
            <v>utmi_vcontrolload_n</v>
          </cell>
        </row>
        <row r="636">
          <cell r="P636" t="str">
            <v>test_clk00</v>
          </cell>
        </row>
        <row r="637">
          <cell r="P637" t="str">
            <v>test_clk01</v>
          </cell>
        </row>
        <row r="638">
          <cell r="P638" t="str">
            <v>test_clk02</v>
          </cell>
        </row>
        <row r="639">
          <cell r="P639" t="str">
            <v>test_clk03</v>
          </cell>
        </row>
        <row r="640">
          <cell r="P640" t="str">
            <v>test_clk04</v>
          </cell>
        </row>
        <row r="641">
          <cell r="P641" t="str">
            <v>test_clk05</v>
          </cell>
        </row>
        <row r="642">
          <cell r="P642" t="str">
            <v>test_clk06</v>
          </cell>
        </row>
        <row r="643">
          <cell r="P643" t="str">
            <v>test_clk07</v>
          </cell>
        </row>
        <row r="644">
          <cell r="P644" t="str">
            <v>test_clk08</v>
          </cell>
        </row>
        <row r="645">
          <cell r="P645" t="str">
            <v>test_clk09</v>
          </cell>
        </row>
        <row r="646">
          <cell r="P646" t="str">
            <v>test_clk10</v>
          </cell>
        </row>
        <row r="647">
          <cell r="P647" t="str">
            <v>test_clk11</v>
          </cell>
        </row>
        <row r="648">
          <cell r="P648" t="str">
            <v>test_clk12</v>
          </cell>
        </row>
        <row r="649">
          <cell r="P649" t="str">
            <v>test_clk13</v>
          </cell>
        </row>
        <row r="650">
          <cell r="P650" t="str">
            <v>test_clk14</v>
          </cell>
        </row>
        <row r="651">
          <cell r="P651" t="str">
            <v>test_clk15</v>
          </cell>
        </row>
        <row r="652">
          <cell r="P652" t="str">
            <v>test_clk16</v>
          </cell>
        </row>
        <row r="653">
          <cell r="P653" t="str">
            <v>test_clk17</v>
          </cell>
        </row>
        <row r="654">
          <cell r="P654" t="str">
            <v>test_clk18</v>
          </cell>
        </row>
        <row r="655">
          <cell r="P655" t="str">
            <v>test_clk19</v>
          </cell>
        </row>
        <row r="656">
          <cell r="P656" t="str">
            <v>test_clk20</v>
          </cell>
        </row>
        <row r="657">
          <cell r="P657" t="str">
            <v>test_clk21</v>
          </cell>
        </row>
        <row r="658">
          <cell r="P658" t="str">
            <v>test_clk22</v>
          </cell>
        </row>
        <row r="659">
          <cell r="P659" t="str">
            <v>test_clk23</v>
          </cell>
        </row>
        <row r="660">
          <cell r="P660" t="str">
            <v>test_clk24</v>
          </cell>
        </row>
        <row r="661">
          <cell r="P661" t="str">
            <v>GU_PCM_CLK</v>
          </cell>
        </row>
        <row r="662">
          <cell r="P662" t="str">
            <v>GU_PCM_SYNC</v>
          </cell>
        </row>
        <row r="663">
          <cell r="P663" t="str">
            <v>GU_PCM_DI</v>
          </cell>
        </row>
        <row r="664">
          <cell r="P664" t="str">
            <v>GU_PCM_DO</v>
          </cell>
        </row>
      </sheetData>
      <sheetData sheetId="1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Relationship Id="rId4" Type="http://schemas.openxmlformats.org/officeDocument/2006/relationships/oleObject" Target="../embeddings/oleObject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13" Type="http://schemas.openxmlformats.org/officeDocument/2006/relationships/oleObject" Target="../embeddings/oleObject12.bin"/><Relationship Id="rId18" Type="http://schemas.openxmlformats.org/officeDocument/2006/relationships/oleObject" Target="../embeddings/oleObject17.bin"/><Relationship Id="rId3" Type="http://schemas.openxmlformats.org/officeDocument/2006/relationships/oleObject" Target="../embeddings/oleObject2.bin"/><Relationship Id="rId7" Type="http://schemas.openxmlformats.org/officeDocument/2006/relationships/oleObject" Target="../embeddings/oleObject6.bin"/><Relationship Id="rId12" Type="http://schemas.openxmlformats.org/officeDocument/2006/relationships/oleObject" Target="../embeddings/oleObject11.bin"/><Relationship Id="rId17" Type="http://schemas.openxmlformats.org/officeDocument/2006/relationships/oleObject" Target="../embeddings/oleObject16.bin"/><Relationship Id="rId2" Type="http://schemas.openxmlformats.org/officeDocument/2006/relationships/vmlDrawing" Target="../drawings/vmlDrawing12.vml"/><Relationship Id="rId16" Type="http://schemas.openxmlformats.org/officeDocument/2006/relationships/oleObject" Target="../embeddings/oleObject15.bin"/><Relationship Id="rId1" Type="http://schemas.openxmlformats.org/officeDocument/2006/relationships/printerSettings" Target="../printerSettings/printerSettings14.bin"/><Relationship Id="rId6" Type="http://schemas.openxmlformats.org/officeDocument/2006/relationships/oleObject" Target="../embeddings/oleObject5.bin"/><Relationship Id="rId11" Type="http://schemas.openxmlformats.org/officeDocument/2006/relationships/oleObject" Target="../embeddings/oleObject10.bin"/><Relationship Id="rId5" Type="http://schemas.openxmlformats.org/officeDocument/2006/relationships/oleObject" Target="../embeddings/oleObject4.bin"/><Relationship Id="rId15" Type="http://schemas.openxmlformats.org/officeDocument/2006/relationships/oleObject" Target="../embeddings/oleObject14.bin"/><Relationship Id="rId10" Type="http://schemas.openxmlformats.org/officeDocument/2006/relationships/oleObject" Target="../embeddings/oleObject9.bin"/><Relationship Id="rId19" Type="http://schemas.openxmlformats.org/officeDocument/2006/relationships/oleObject" Target="../embeddings/oleObject18.bin"/><Relationship Id="rId4" Type="http://schemas.openxmlformats.org/officeDocument/2006/relationships/oleObject" Target="../embeddings/oleObject3.bin"/><Relationship Id="rId9" Type="http://schemas.openxmlformats.org/officeDocument/2006/relationships/oleObject" Target="../embeddings/oleObject8.bin"/><Relationship Id="rId14" Type="http://schemas.openxmlformats.org/officeDocument/2006/relationships/oleObject" Target="../embeddings/oleObject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75"/>
  <sheetViews>
    <sheetView workbookViewId="0">
      <selection activeCell="B32" sqref="B32"/>
    </sheetView>
  </sheetViews>
  <sheetFormatPr defaultColWidth="9" defaultRowHeight="14.25"/>
  <cols>
    <col min="1" max="1" width="29.5" style="33" customWidth="1"/>
    <col min="2" max="2" width="53.75" style="33" customWidth="1"/>
    <col min="3" max="3" width="39.625" style="33" customWidth="1"/>
    <col min="4" max="16384" width="9" style="5"/>
  </cols>
  <sheetData>
    <row r="1" spans="1:3" s="41" customFormat="1">
      <c r="A1" s="1" t="s">
        <v>26</v>
      </c>
      <c r="B1" s="1" t="s">
        <v>27</v>
      </c>
      <c r="C1" s="1" t="s">
        <v>28</v>
      </c>
    </row>
    <row r="2" spans="1:3" s="41" customFormat="1" ht="28.5">
      <c r="A2" s="42">
        <v>41655</v>
      </c>
      <c r="B2" s="76" t="s">
        <v>854</v>
      </c>
      <c r="C2" s="44" t="s">
        <v>855</v>
      </c>
    </row>
    <row r="3" spans="1:3" s="41" customFormat="1" ht="42.75">
      <c r="A3" s="42">
        <v>41659</v>
      </c>
      <c r="B3" s="76" t="s">
        <v>958</v>
      </c>
      <c r="C3" s="44" t="s">
        <v>855</v>
      </c>
    </row>
    <row r="4" spans="1:3" s="41" customFormat="1">
      <c r="A4" s="42">
        <v>41663</v>
      </c>
      <c r="B4" s="76" t="s">
        <v>959</v>
      </c>
      <c r="C4" s="44" t="s">
        <v>855</v>
      </c>
    </row>
    <row r="5" spans="1:3" ht="28.5">
      <c r="A5" s="42">
        <v>41712</v>
      </c>
      <c r="B5" s="76" t="s">
        <v>962</v>
      </c>
      <c r="C5" s="44" t="s">
        <v>855</v>
      </c>
    </row>
    <row r="6" spans="1:3">
      <c r="A6" s="42"/>
      <c r="B6" s="76"/>
      <c r="C6" s="44"/>
    </row>
    <row r="7" spans="1:3">
      <c r="A7" s="42"/>
      <c r="B7" s="76"/>
      <c r="C7" s="44"/>
    </row>
    <row r="8" spans="1:3">
      <c r="A8" s="42"/>
      <c r="B8" s="76"/>
      <c r="C8" s="44"/>
    </row>
    <row r="9" spans="1:3">
      <c r="A9" s="42"/>
      <c r="B9" s="76"/>
      <c r="C9" s="44"/>
    </row>
    <row r="10" spans="1:3">
      <c r="A10" s="42"/>
      <c r="B10" s="76"/>
      <c r="C10" s="44"/>
    </row>
    <row r="11" spans="1:3">
      <c r="A11" s="42"/>
      <c r="B11" s="76"/>
      <c r="C11" s="44"/>
    </row>
    <row r="12" spans="1:3">
      <c r="A12" s="42"/>
      <c r="B12" s="76"/>
      <c r="C12" s="44"/>
    </row>
    <row r="13" spans="1:3">
      <c r="A13" s="42"/>
      <c r="B13" s="76"/>
      <c r="C13" s="44"/>
    </row>
    <row r="14" spans="1:3">
      <c r="A14" s="42"/>
      <c r="B14" s="76"/>
      <c r="C14" s="44"/>
    </row>
    <row r="15" spans="1:3">
      <c r="A15" s="42"/>
      <c r="B15" s="76"/>
      <c r="C15" s="44"/>
    </row>
    <row r="16" spans="1:3">
      <c r="A16" s="42"/>
      <c r="B16" s="76"/>
      <c r="C16" s="44"/>
    </row>
    <row r="17" spans="1:3">
      <c r="A17" s="42"/>
      <c r="B17" s="76"/>
      <c r="C17" s="44"/>
    </row>
    <row r="18" spans="1:3">
      <c r="A18" s="42"/>
      <c r="B18" s="76"/>
      <c r="C18" s="44"/>
    </row>
    <row r="19" spans="1:3">
      <c r="A19" s="42"/>
      <c r="B19" s="76"/>
      <c r="C19" s="44"/>
    </row>
    <row r="20" spans="1:3">
      <c r="A20" s="42"/>
      <c r="B20" s="76"/>
      <c r="C20" s="1"/>
    </row>
    <row r="21" spans="1:3">
      <c r="A21" s="42"/>
      <c r="B21" s="76"/>
      <c r="C21" s="1"/>
    </row>
    <row r="22" spans="1:3">
      <c r="A22" s="42"/>
      <c r="B22" s="76"/>
      <c r="C22" s="1"/>
    </row>
    <row r="23" spans="1:3">
      <c r="A23" s="42"/>
      <c r="B23" s="76"/>
      <c r="C23" s="1"/>
    </row>
    <row r="24" spans="1:3">
      <c r="A24" s="42"/>
      <c r="B24" s="76"/>
      <c r="C24" s="1"/>
    </row>
    <row r="25" spans="1:3">
      <c r="A25" s="42"/>
      <c r="B25" s="44"/>
      <c r="C25" s="1"/>
    </row>
    <row r="26" spans="1:3">
      <c r="A26" s="42"/>
      <c r="B26" s="44"/>
      <c r="C26" s="1"/>
    </row>
    <row r="27" spans="1:3">
      <c r="A27" s="42"/>
      <c r="B27" s="1"/>
      <c r="C27" s="1"/>
    </row>
    <row r="28" spans="1:3">
      <c r="A28" s="42"/>
      <c r="B28" s="44"/>
      <c r="C28" s="1"/>
    </row>
    <row r="29" spans="1:3">
      <c r="A29" s="42"/>
      <c r="B29" s="1"/>
      <c r="C29" s="1"/>
    </row>
    <row r="30" spans="1:3">
      <c r="A30" s="42"/>
      <c r="B30" s="44"/>
      <c r="C30" s="1"/>
    </row>
    <row r="31" spans="1:3">
      <c r="A31" s="42"/>
      <c r="B31" s="1"/>
      <c r="C31" s="1"/>
    </row>
    <row r="32" spans="1:3">
      <c r="A32" s="42"/>
      <c r="B32" s="57"/>
      <c r="C32" s="1"/>
    </row>
    <row r="33" spans="1:3">
      <c r="A33" s="42"/>
      <c r="B33" s="58"/>
      <c r="C33" s="1"/>
    </row>
    <row r="34" spans="1:3">
      <c r="A34" s="42"/>
      <c r="B34" s="59"/>
      <c r="C34" s="1"/>
    </row>
    <row r="35" spans="1:3">
      <c r="A35" s="42"/>
      <c r="B35" s="44"/>
      <c r="C35" s="1"/>
    </row>
    <row r="36" spans="1:3" s="25" customFormat="1" ht="15">
      <c r="A36" s="42"/>
      <c r="B36" s="44"/>
      <c r="C36" s="1"/>
    </row>
    <row r="37" spans="1:3" s="25" customFormat="1" ht="15">
      <c r="A37" s="42"/>
      <c r="B37" s="60"/>
      <c r="C37" s="1"/>
    </row>
    <row r="38" spans="1:3" s="25" customFormat="1" ht="15">
      <c r="A38" s="42"/>
      <c r="B38" s="44"/>
      <c r="C38" s="1"/>
    </row>
    <row r="39" spans="1:3" s="25" customFormat="1" ht="15">
      <c r="A39" s="42"/>
      <c r="B39" s="1"/>
      <c r="C39" s="1"/>
    </row>
    <row r="40" spans="1:3" s="25" customFormat="1" ht="15">
      <c r="A40" s="42"/>
      <c r="B40" s="1"/>
      <c r="C40" s="1"/>
    </row>
    <row r="41" spans="1:3" s="25" customFormat="1" ht="15">
      <c r="A41" s="42"/>
      <c r="B41" s="1"/>
      <c r="C41" s="1"/>
    </row>
    <row r="42" spans="1:3" s="25" customFormat="1" ht="15">
      <c r="A42" s="42"/>
      <c r="B42" s="62"/>
      <c r="C42" s="1"/>
    </row>
    <row r="43" spans="1:3" s="25" customFormat="1" ht="15">
      <c r="A43" s="42"/>
      <c r="B43" s="1"/>
      <c r="C43" s="1"/>
    </row>
    <row r="44" spans="1:3" s="25" customFormat="1" ht="15">
      <c r="A44" s="42"/>
      <c r="B44" s="1"/>
      <c r="C44" s="1"/>
    </row>
    <row r="45" spans="1:3" s="25" customFormat="1" ht="15">
      <c r="A45" s="42"/>
      <c r="B45" s="1"/>
      <c r="C45" s="1"/>
    </row>
    <row r="46" spans="1:3" s="25" customFormat="1" ht="15">
      <c r="A46" s="42"/>
      <c r="B46" s="1"/>
      <c r="C46" s="1"/>
    </row>
    <row r="47" spans="1:3" s="25" customFormat="1" ht="15">
      <c r="A47" s="42"/>
      <c r="B47" s="1"/>
      <c r="C47" s="1"/>
    </row>
    <row r="48" spans="1:3" s="25" customFormat="1" ht="15">
      <c r="A48" s="42"/>
      <c r="B48" s="44"/>
      <c r="C48" s="1"/>
    </row>
    <row r="49" spans="1:3" s="25" customFormat="1" ht="15">
      <c r="A49" s="42"/>
      <c r="B49" s="63"/>
      <c r="C49" s="1"/>
    </row>
    <row r="50" spans="1:3" s="25" customFormat="1" ht="15">
      <c r="A50" s="42"/>
      <c r="B50" s="44"/>
      <c r="C50" s="1"/>
    </row>
    <row r="51" spans="1:3" s="25" customFormat="1" ht="15">
      <c r="A51" s="42"/>
      <c r="B51" s="1"/>
      <c r="C51" s="1"/>
    </row>
    <row r="52" spans="1:3" s="25" customFormat="1" ht="15">
      <c r="A52" s="42"/>
      <c r="B52" s="1"/>
      <c r="C52" s="1"/>
    </row>
    <row r="53" spans="1:3" s="25" customFormat="1" ht="15">
      <c r="A53" s="42"/>
      <c r="B53" s="1"/>
      <c r="C53" s="1"/>
    </row>
    <row r="54" spans="1:3" s="25" customFormat="1" ht="15">
      <c r="A54" s="42"/>
      <c r="B54" s="64"/>
      <c r="C54" s="1"/>
    </row>
    <row r="55" spans="1:3" s="25" customFormat="1" ht="15">
      <c r="A55" s="42"/>
      <c r="B55" s="44"/>
      <c r="C55" s="1"/>
    </row>
    <row r="56" spans="1:3" s="25" customFormat="1" ht="15">
      <c r="A56" s="42"/>
      <c r="B56" s="39"/>
      <c r="C56" s="39"/>
    </row>
    <row r="57" spans="1:3" s="25" customFormat="1" ht="15">
      <c r="A57" s="42"/>
      <c r="B57" s="64"/>
      <c r="C57" s="1"/>
    </row>
    <row r="58" spans="1:3" s="25" customFormat="1" ht="15">
      <c r="A58" s="42"/>
      <c r="B58" s="64"/>
      <c r="C58" s="1"/>
    </row>
    <row r="59" spans="1:3" s="25" customFormat="1" ht="15">
      <c r="A59" s="42"/>
      <c r="B59" s="64"/>
      <c r="C59" s="1"/>
    </row>
    <row r="60" spans="1:3" s="25" customFormat="1" ht="15">
      <c r="A60" s="42"/>
      <c r="B60" s="64"/>
      <c r="C60" s="1"/>
    </row>
    <row r="61" spans="1:3" s="25" customFormat="1" ht="15">
      <c r="A61" s="42"/>
      <c r="B61" s="64"/>
      <c r="C61" s="1"/>
    </row>
    <row r="62" spans="1:3" s="25" customFormat="1" ht="15">
      <c r="A62" s="42"/>
      <c r="B62" s="64"/>
      <c r="C62" s="1"/>
    </row>
    <row r="63" spans="1:3" s="25" customFormat="1" ht="15">
      <c r="A63" s="42"/>
      <c r="B63" s="64"/>
      <c r="C63" s="1"/>
    </row>
    <row r="64" spans="1:3" s="25" customFormat="1" ht="15">
      <c r="A64" s="42"/>
      <c r="B64" s="44"/>
      <c r="C64" s="1"/>
    </row>
    <row r="65" spans="1:3" s="25" customFormat="1" ht="15">
      <c r="A65" s="42"/>
      <c r="B65" s="44"/>
      <c r="C65" s="1"/>
    </row>
    <row r="66" spans="1:3" s="25" customFormat="1" ht="15">
      <c r="A66" s="40"/>
      <c r="B66" s="39"/>
      <c r="C66" s="39"/>
    </row>
    <row r="67" spans="1:3" s="25" customFormat="1" ht="15">
      <c r="A67" s="40"/>
      <c r="B67" s="39"/>
      <c r="C67" s="39"/>
    </row>
    <row r="68" spans="1:3" s="25" customFormat="1" ht="15">
      <c r="A68" s="40"/>
      <c r="B68" s="39"/>
      <c r="C68" s="39"/>
    </row>
    <row r="69" spans="1:3" s="25" customFormat="1" ht="15">
      <c r="A69" s="40"/>
      <c r="B69" s="39"/>
      <c r="C69" s="39"/>
    </row>
    <row r="70" spans="1:3" s="25" customFormat="1" ht="15">
      <c r="A70" s="40"/>
      <c r="B70" s="39"/>
      <c r="C70" s="39"/>
    </row>
    <row r="71" spans="1:3" s="25" customFormat="1" ht="15">
      <c r="A71" s="40"/>
      <c r="B71" s="39"/>
      <c r="C71" s="39"/>
    </row>
    <row r="72" spans="1:3" s="25" customFormat="1" ht="15">
      <c r="A72" s="40"/>
      <c r="B72" s="39"/>
      <c r="C72" s="39"/>
    </row>
    <row r="73" spans="1:3" s="25" customFormat="1" ht="15">
      <c r="A73" s="40"/>
      <c r="B73" s="39"/>
      <c r="C73" s="39"/>
    </row>
    <row r="74" spans="1:3" s="25" customFormat="1" ht="15">
      <c r="A74" s="40"/>
      <c r="B74" s="39"/>
      <c r="C74" s="39"/>
    </row>
    <row r="75" spans="1:3" ht="15">
      <c r="A75" s="40"/>
      <c r="B75" s="39"/>
      <c r="C75" s="39"/>
    </row>
  </sheetData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I19"/>
  <sheetViews>
    <sheetView topLeftCell="A4" workbookViewId="0">
      <selection activeCell="C4" sqref="C4"/>
    </sheetView>
  </sheetViews>
  <sheetFormatPr defaultRowHeight="14.25"/>
  <cols>
    <col min="2" max="2" width="41.5" customWidth="1"/>
    <col min="3" max="5" width="17" customWidth="1"/>
    <col min="6" max="6" width="9" style="5"/>
    <col min="7" max="7" width="18.375" style="5" customWidth="1"/>
    <col min="8" max="9" width="9" style="5"/>
  </cols>
  <sheetData>
    <row r="1" spans="1:5" ht="33.75" customHeight="1">
      <c r="A1" s="23" t="s">
        <v>42</v>
      </c>
    </row>
    <row r="2" spans="1:5" ht="26.25" customHeight="1">
      <c r="B2" s="15" t="s">
        <v>24</v>
      </c>
      <c r="C2" s="15" t="s">
        <v>5</v>
      </c>
      <c r="D2" s="15" t="s">
        <v>6</v>
      </c>
      <c r="E2" s="15" t="s">
        <v>7</v>
      </c>
    </row>
    <row r="3" spans="1:5" ht="38.25" customHeight="1">
      <c r="B3" s="3" t="s">
        <v>3</v>
      </c>
      <c r="C3" s="315" t="s">
        <v>428</v>
      </c>
      <c r="D3" s="316"/>
      <c r="E3" s="317"/>
    </row>
    <row r="4" spans="1:5" ht="38.25" customHeight="1">
      <c r="B4" s="3" t="s">
        <v>4</v>
      </c>
      <c r="C4" s="29" t="s">
        <v>429</v>
      </c>
      <c r="D4" s="29" t="s">
        <v>430</v>
      </c>
      <c r="E4" s="29" t="s">
        <v>431</v>
      </c>
    </row>
    <row r="5" spans="1:5" ht="38.25" customHeight="1">
      <c r="B5" s="3" t="s">
        <v>2</v>
      </c>
      <c r="C5" s="29"/>
      <c r="D5" s="29">
        <v>0.65</v>
      </c>
      <c r="E5" s="29"/>
    </row>
    <row r="6" spans="1:5" s="12" customFormat="1" ht="27" customHeight="1">
      <c r="B6" s="20" t="s">
        <v>30</v>
      </c>
      <c r="C6" s="318" t="s">
        <v>29</v>
      </c>
      <c r="D6" s="318"/>
      <c r="E6" s="318"/>
    </row>
    <row r="7" spans="1:5" s="12" customFormat="1" ht="12.75" customHeight="1">
      <c r="B7" s="18"/>
      <c r="C7" s="19"/>
      <c r="D7" s="19"/>
      <c r="E7" s="19"/>
    </row>
    <row r="8" spans="1:5" s="12" customFormat="1" ht="37.5" customHeight="1">
      <c r="B8" s="16" t="s">
        <v>20</v>
      </c>
      <c r="C8" s="17" t="s">
        <v>23</v>
      </c>
      <c r="D8" s="17" t="s">
        <v>21</v>
      </c>
      <c r="E8" s="17" t="s">
        <v>22</v>
      </c>
    </row>
    <row r="9" spans="1:5" ht="29.25" customHeight="1">
      <c r="B9" s="3" t="s">
        <v>13</v>
      </c>
      <c r="C9" s="30"/>
      <c r="D9" s="30"/>
      <c r="E9" s="30"/>
    </row>
    <row r="10" spans="1:5" ht="32.25" customHeight="1">
      <c r="A10" s="5"/>
      <c r="B10" s="5"/>
      <c r="C10" s="5"/>
      <c r="D10" s="5"/>
      <c r="E10" s="5"/>
    </row>
    <row r="11" spans="1:5" s="12" customFormat="1" ht="29.25" customHeight="1">
      <c r="A11" s="28" t="s">
        <v>33</v>
      </c>
      <c r="B11" s="27"/>
    </row>
    <row r="12" spans="1:5" ht="78" customHeight="1">
      <c r="A12" s="5"/>
      <c r="B12" s="16" t="s">
        <v>34</v>
      </c>
      <c r="C12" s="314"/>
      <c r="D12" s="314"/>
      <c r="E12" s="314"/>
    </row>
    <row r="13" spans="1:5">
      <c r="A13" s="5"/>
      <c r="B13" s="5"/>
      <c r="C13" s="5"/>
      <c r="D13" s="5"/>
      <c r="E13" s="5"/>
    </row>
    <row r="14" spans="1:5">
      <c r="A14" s="5"/>
      <c r="B14" s="5"/>
      <c r="C14" s="5"/>
      <c r="D14" s="5"/>
      <c r="E14" s="5"/>
    </row>
    <row r="15" spans="1:5">
      <c r="A15" s="5"/>
      <c r="B15" s="5"/>
      <c r="C15" s="5"/>
      <c r="D15" s="5"/>
      <c r="E15" s="5"/>
    </row>
    <row r="16" spans="1:5">
      <c r="A16" s="5"/>
      <c r="B16" s="5"/>
      <c r="C16" s="5"/>
      <c r="D16" s="5"/>
      <c r="E16" s="5"/>
    </row>
    <row r="17" spans="1:9" s="5" customFormat="1" ht="27" customHeight="1">
      <c r="A17" s="26" t="s">
        <v>36</v>
      </c>
    </row>
    <row r="18" spans="1:9" s="22" customFormat="1" ht="148.5" customHeight="1">
      <c r="B18" s="319" t="s">
        <v>35</v>
      </c>
      <c r="C18" s="321"/>
      <c r="D18" s="321"/>
      <c r="E18" s="321"/>
      <c r="F18" s="321"/>
      <c r="G18" s="322"/>
      <c r="H18" s="25"/>
      <c r="I18" s="25"/>
    </row>
    <row r="19" spans="1:9" s="22" customFormat="1" ht="36.75" customHeight="1" thickBot="1">
      <c r="B19" s="320"/>
      <c r="C19" s="21"/>
      <c r="D19" s="323"/>
      <c r="E19" s="323"/>
      <c r="F19" s="323"/>
      <c r="G19" s="324"/>
      <c r="H19" s="25"/>
      <c r="I19" s="25"/>
    </row>
  </sheetData>
  <mergeCells count="6">
    <mergeCell ref="C12:E12"/>
    <mergeCell ref="C3:E3"/>
    <mergeCell ref="C6:E6"/>
    <mergeCell ref="B18:B19"/>
    <mergeCell ref="C18:G18"/>
    <mergeCell ref="D19:G19"/>
  </mergeCells>
  <phoneticPr fontId="3" type="noConversion"/>
  <dataValidations count="1">
    <dataValidation type="list" allowBlank="1" showInputMessage="1" showErrorMessage="1" sqref="C6:E7">
      <formula1>"Green,RoHS,Halogen-free,Pb-free,Normal"</formula1>
    </dataValidation>
  </dataValidations>
  <pageMargins left="0.75" right="0.75" top="1" bottom="1" header="0.5" footer="0.5"/>
  <pageSetup paperSize="9" orientation="portrait" r:id="rId1"/>
  <headerFooter alignWithMargins="0">
    <oddHeader>&amp;LHi6910 V100R001 SI&amp;PKG_REQ&amp;R机密</oddHeader>
  </headerFooter>
  <drawing r:id="rId2"/>
  <legacyDrawing r:id="rId3"/>
  <controls>
    <control shapeId="5128" r:id="rId4" name="OptionButton1"/>
    <control shapeId="5137" r:id="rId5" name="OptionButton2"/>
    <control shapeId="5144" r:id="rId6" name="OptionButton3"/>
    <control shapeId="5147" r:id="rId7" name="OptionButton5"/>
    <control shapeId="5146" r:id="rId8" name="OptionButton4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1:E11"/>
  <sheetViews>
    <sheetView workbookViewId="0">
      <selection activeCell="G17" sqref="G17"/>
    </sheetView>
  </sheetViews>
  <sheetFormatPr defaultRowHeight="14.25"/>
  <cols>
    <col min="2" max="2" width="42.875" customWidth="1"/>
    <col min="3" max="3" width="11.125" customWidth="1"/>
    <col min="4" max="4" width="11.25" customWidth="1"/>
    <col min="5" max="5" width="11.625" customWidth="1"/>
  </cols>
  <sheetData>
    <row r="1" spans="2:5" ht="35.25" customHeight="1">
      <c r="B1" s="2" t="s">
        <v>44</v>
      </c>
    </row>
    <row r="2" spans="2:5" ht="18.75">
      <c r="B2" s="4" t="s">
        <v>11</v>
      </c>
      <c r="C2" s="326" t="s">
        <v>427</v>
      </c>
      <c r="D2" s="327"/>
      <c r="E2" s="328"/>
    </row>
    <row r="3" spans="2:5" ht="18.75">
      <c r="B3" s="4" t="s">
        <v>25</v>
      </c>
      <c r="C3" s="326" t="s">
        <v>426</v>
      </c>
      <c r="D3" s="329"/>
      <c r="E3" s="330"/>
    </row>
    <row r="4" spans="2:5" ht="18.75">
      <c r="B4" s="4" t="s">
        <v>31</v>
      </c>
      <c r="C4" s="325" t="s">
        <v>425</v>
      </c>
      <c r="D4" s="325"/>
      <c r="E4" s="325"/>
    </row>
    <row r="5" spans="2:5" ht="18.75">
      <c r="B5" s="4" t="s">
        <v>32</v>
      </c>
      <c r="C5" s="325" t="s">
        <v>43</v>
      </c>
      <c r="D5" s="325"/>
      <c r="E5" s="325"/>
    </row>
    <row r="6" spans="2:5" ht="24" customHeight="1"/>
    <row r="7" spans="2:5" ht="35.25" customHeight="1">
      <c r="B7" s="2" t="s">
        <v>40</v>
      </c>
    </row>
    <row r="8" spans="2:5" ht="18.75">
      <c r="B8" s="4" t="s">
        <v>11</v>
      </c>
      <c r="C8" s="326"/>
      <c r="D8" s="327"/>
      <c r="E8" s="328"/>
    </row>
    <row r="9" spans="2:5" ht="18.75">
      <c r="B9" s="4" t="s">
        <v>25</v>
      </c>
      <c r="C9" s="326"/>
      <c r="D9" s="329"/>
      <c r="E9" s="330"/>
    </row>
    <row r="10" spans="2:5" ht="18.75">
      <c r="B10" s="4" t="s">
        <v>31</v>
      </c>
      <c r="C10" s="325"/>
      <c r="D10" s="325"/>
      <c r="E10" s="325"/>
    </row>
    <row r="11" spans="2:5" ht="18.75">
      <c r="B11" s="4" t="s">
        <v>32</v>
      </c>
      <c r="C11" s="325"/>
      <c r="D11" s="325"/>
      <c r="E11" s="325"/>
    </row>
  </sheetData>
  <mergeCells count="8">
    <mergeCell ref="C10:E10"/>
    <mergeCell ref="C11:E11"/>
    <mergeCell ref="C2:E2"/>
    <mergeCell ref="C5:E5"/>
    <mergeCell ref="C4:E4"/>
    <mergeCell ref="C3:E3"/>
    <mergeCell ref="C8:E8"/>
    <mergeCell ref="C9:E9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>
    <oddHeader>&amp;LHi6910 V100R001 SI&amp;PKG_REQ&amp;R机密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L14"/>
  <sheetViews>
    <sheetView workbookViewId="0">
      <selection activeCell="E28" sqref="E28"/>
    </sheetView>
  </sheetViews>
  <sheetFormatPr defaultRowHeight="14.25"/>
  <cols>
    <col min="2" max="2" width="34.25" customWidth="1"/>
    <col min="3" max="3" width="17.125" customWidth="1"/>
    <col min="4" max="4" width="17.25" customWidth="1"/>
    <col min="5" max="5" width="20.75" customWidth="1"/>
    <col min="6" max="6" width="7.875" customWidth="1"/>
    <col min="7" max="7" width="5.625" customWidth="1"/>
    <col min="8" max="8" width="31.75" customWidth="1"/>
    <col min="9" max="9" width="13.125" customWidth="1"/>
  </cols>
  <sheetData>
    <row r="1" spans="2:12" ht="27" customHeight="1">
      <c r="B1" s="2" t="s">
        <v>45</v>
      </c>
    </row>
    <row r="3" spans="2:12" ht="29.25" customHeight="1">
      <c r="B3" s="8" t="s">
        <v>8</v>
      </c>
      <c r="C3" s="7"/>
      <c r="D3" s="7"/>
      <c r="E3" s="7"/>
      <c r="F3" s="9"/>
      <c r="G3" s="9"/>
      <c r="H3" s="11"/>
      <c r="I3" s="9"/>
      <c r="J3" s="6"/>
      <c r="K3" s="6"/>
      <c r="L3" s="6"/>
    </row>
    <row r="4" spans="2:12" ht="29.25" customHeight="1">
      <c r="B4" s="331" t="s">
        <v>41</v>
      </c>
      <c r="C4" s="31"/>
      <c r="D4" s="31">
        <v>0.8</v>
      </c>
      <c r="E4" s="31">
        <v>1</v>
      </c>
      <c r="F4" s="9"/>
      <c r="G4" s="9"/>
      <c r="H4" s="11"/>
      <c r="I4" s="9"/>
      <c r="J4" s="6"/>
      <c r="K4" s="6"/>
      <c r="L4" s="6"/>
    </row>
    <row r="5" spans="2:12" ht="24" customHeight="1">
      <c r="B5" s="332"/>
      <c r="C5" s="31"/>
      <c r="D5" s="31"/>
      <c r="E5" s="31"/>
      <c r="F5" s="9"/>
      <c r="G5" s="9"/>
      <c r="H5" s="11"/>
      <c r="I5" s="9"/>
      <c r="J5" s="6"/>
      <c r="K5" s="6"/>
      <c r="L5" s="6"/>
    </row>
    <row r="6" spans="2:12" ht="24" customHeight="1">
      <c r="B6" s="8" t="s">
        <v>37</v>
      </c>
      <c r="C6" s="31">
        <v>0</v>
      </c>
      <c r="D6" s="31"/>
      <c r="E6" s="31">
        <v>70</v>
      </c>
      <c r="F6" s="9"/>
      <c r="G6" s="9"/>
      <c r="H6" s="11"/>
      <c r="I6" s="9"/>
      <c r="J6" s="6"/>
      <c r="K6" s="6"/>
      <c r="L6" s="6"/>
    </row>
    <row r="7" spans="2:12" ht="21" customHeight="1">
      <c r="B7" s="8" t="s">
        <v>38</v>
      </c>
      <c r="C7" s="31"/>
      <c r="D7" s="31">
        <v>125</v>
      </c>
      <c r="E7" s="31"/>
      <c r="F7" s="9"/>
      <c r="G7" s="9"/>
      <c r="H7" s="11"/>
      <c r="I7" s="9"/>
      <c r="J7" s="6"/>
      <c r="K7" s="6"/>
      <c r="L7" s="6"/>
    </row>
    <row r="8" spans="2:12" ht="21" customHeight="1">
      <c r="B8" s="8" t="s">
        <v>9</v>
      </c>
      <c r="C8" s="31">
        <v>-40</v>
      </c>
      <c r="D8" s="31"/>
      <c r="E8" s="31">
        <v>70</v>
      </c>
      <c r="F8" s="9"/>
      <c r="G8" s="9"/>
      <c r="H8" s="11"/>
      <c r="I8" s="9"/>
      <c r="J8" s="6"/>
      <c r="K8" s="6"/>
      <c r="L8" s="6"/>
    </row>
    <row r="9" spans="2:12" ht="25.5" customHeight="1">
      <c r="B9" s="8" t="s">
        <v>10</v>
      </c>
      <c r="C9" s="31"/>
      <c r="D9" s="31"/>
      <c r="E9" s="31"/>
      <c r="F9" s="9"/>
      <c r="G9" s="9"/>
      <c r="H9" s="11"/>
      <c r="I9" s="9"/>
      <c r="J9" s="6"/>
      <c r="K9" s="6"/>
      <c r="L9" s="6"/>
    </row>
    <row r="10" spans="2:12" ht="20.25" customHeight="1">
      <c r="B10" s="8" t="s">
        <v>39</v>
      </c>
      <c r="C10" s="34"/>
      <c r="D10" s="31"/>
      <c r="E10" s="34"/>
      <c r="F10" s="9"/>
      <c r="G10" s="9"/>
      <c r="H10" s="11"/>
      <c r="I10" s="9"/>
      <c r="J10" s="6"/>
      <c r="K10" s="6"/>
      <c r="L10" s="6"/>
    </row>
    <row r="11" spans="2:12">
      <c r="B11" s="6"/>
      <c r="C11" s="6"/>
      <c r="D11" s="6"/>
      <c r="E11" s="9"/>
      <c r="F11" s="9"/>
      <c r="G11" s="9"/>
      <c r="H11" s="11"/>
      <c r="I11" s="9"/>
      <c r="J11" s="6"/>
      <c r="K11" s="6"/>
      <c r="L11" s="6"/>
    </row>
    <row r="12" spans="2:12" ht="17.25" customHeight="1">
      <c r="B12" s="6"/>
      <c r="C12" s="6"/>
      <c r="D12" s="6"/>
      <c r="E12" s="9"/>
      <c r="F12" s="9"/>
      <c r="G12" s="9"/>
      <c r="H12" s="11"/>
      <c r="I12" s="9"/>
      <c r="J12" s="6"/>
      <c r="K12" s="6"/>
      <c r="L12" s="6"/>
    </row>
    <row r="13" spans="2:12" ht="18.75" customHeight="1">
      <c r="B13" s="10" t="s">
        <v>1</v>
      </c>
      <c r="C13" s="7"/>
      <c r="D13" s="7"/>
      <c r="E13" s="7"/>
      <c r="F13" s="6"/>
      <c r="G13" s="6"/>
      <c r="H13" s="6"/>
      <c r="I13" s="6"/>
      <c r="J13" s="6"/>
      <c r="K13" s="6"/>
      <c r="L13" s="6"/>
    </row>
    <row r="14" spans="2:12" ht="25.5" customHeight="1">
      <c r="B14" s="10" t="s">
        <v>0</v>
      </c>
      <c r="C14" s="1"/>
      <c r="D14" s="1"/>
      <c r="E14" s="31"/>
    </row>
  </sheetData>
  <mergeCells count="1">
    <mergeCell ref="B4:B5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>
    <oddHeader>&amp;LHi6910 V100R001 SI&amp;PKG_REQ&amp;R机密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>
    <outlinePr summaryBelow="0"/>
  </sheetPr>
  <dimension ref="A1:DR124"/>
  <sheetViews>
    <sheetView tabSelected="1" zoomScaleNormal="100" zoomScaleSheetLayoutView="100" workbookViewId="0">
      <pane xSplit="6" ySplit="2" topLeftCell="G3" activePane="bottomRight" state="frozen"/>
      <selection pane="topRight" activeCell="E1" sqref="E1"/>
      <selection pane="bottomLeft" activeCell="A7" sqref="A7"/>
      <selection pane="bottomRight" activeCell="H24" sqref="H24"/>
    </sheetView>
  </sheetViews>
  <sheetFormatPr defaultColWidth="9" defaultRowHeight="14.25"/>
  <cols>
    <col min="1" max="1" width="26.125" style="235" hidden="1" customWidth="1"/>
    <col min="2" max="2" width="10.125" style="270" hidden="1" customWidth="1"/>
    <col min="3" max="3" width="10.125" style="235" hidden="1" customWidth="1"/>
    <col min="4" max="4" width="7.875" style="235" hidden="1" customWidth="1"/>
    <col min="5" max="5" width="8.125" style="235" hidden="1" customWidth="1"/>
    <col min="6" max="6" width="17.625" style="235" bestFit="1" customWidth="1"/>
    <col min="7" max="7" width="12.625" style="279" customWidth="1"/>
    <col min="8" max="8" width="15.25" style="279" customWidth="1"/>
    <col min="9" max="9" width="12.875" style="279" customWidth="1"/>
    <col min="10" max="10" width="12" style="279" customWidth="1"/>
    <col min="11" max="11" width="9.125" style="279" customWidth="1"/>
    <col min="12" max="12" width="9.875" style="235" bestFit="1" customWidth="1"/>
    <col min="13" max="13" width="11" style="235" bestFit="1" customWidth="1"/>
    <col min="14" max="14" width="12.375" style="235" bestFit="1" customWidth="1"/>
    <col min="15" max="15" width="9.625" style="235" bestFit="1" customWidth="1"/>
    <col min="16" max="16" width="6.625" style="235" bestFit="1" customWidth="1"/>
    <col min="17" max="17" width="19.25" style="235" bestFit="1" customWidth="1"/>
    <col min="18" max="18" width="16.875" style="235" hidden="1" customWidth="1"/>
    <col min="19" max="19" width="23.75" style="235" bestFit="1" customWidth="1"/>
    <col min="20" max="20" width="16.875" style="234" bestFit="1" customWidth="1"/>
    <col min="21" max="21" width="16" style="235" bestFit="1" customWidth="1"/>
    <col min="22" max="22" width="7.125" style="235" bestFit="1" customWidth="1"/>
    <col min="23" max="23" width="28.25" style="235" bestFit="1" customWidth="1"/>
    <col min="24" max="24" width="9.5" style="235" bestFit="1" customWidth="1"/>
    <col min="25" max="25" width="90.75" style="233" hidden="1" customWidth="1"/>
    <col min="26" max="26" width="24.25" style="235" bestFit="1" customWidth="1"/>
    <col min="27" max="27" width="7.125" style="235" bestFit="1" customWidth="1"/>
    <col min="28" max="28" width="30.375" style="235" bestFit="1" customWidth="1"/>
    <col min="29" max="29" width="6.625" style="235" bestFit="1" customWidth="1"/>
    <col min="30" max="30" width="26.125" style="235" bestFit="1" customWidth="1"/>
    <col min="31" max="31" width="24.25" style="235" bestFit="1" customWidth="1"/>
    <col min="32" max="32" width="7.125" style="235" bestFit="1" customWidth="1"/>
    <col min="33" max="33" width="29.5" style="235" bestFit="1" customWidth="1"/>
    <col min="34" max="34" width="6.125" style="235" bestFit="1" customWidth="1"/>
    <col min="35" max="35" width="12.375" style="235" bestFit="1" customWidth="1"/>
    <col min="36" max="36" width="24.25" style="251" bestFit="1" customWidth="1"/>
    <col min="37" max="37" width="7.125" style="251" bestFit="1" customWidth="1"/>
    <col min="38" max="38" width="11.875" style="251" bestFit="1" customWidth="1"/>
    <col min="39" max="39" width="6.125" style="251" bestFit="1" customWidth="1"/>
    <col min="40" max="40" width="12.375" style="251" bestFit="1" customWidth="1"/>
    <col min="41" max="41" width="24.25" style="252" bestFit="1" customWidth="1"/>
    <col min="42" max="42" width="7.125" style="252" bestFit="1" customWidth="1"/>
    <col min="43" max="43" width="11.875" style="252" bestFit="1" customWidth="1"/>
    <col min="44" max="44" width="6.125" style="252" bestFit="1" customWidth="1"/>
    <col min="45" max="45" width="12.375" style="252" bestFit="1" customWidth="1"/>
    <col min="46" max="46" width="9" style="235" bestFit="1" customWidth="1"/>
    <col min="47" max="47" width="8.25" style="235" bestFit="1" customWidth="1"/>
    <col min="48" max="48" width="9.875" style="235" bestFit="1" customWidth="1"/>
    <col min="49" max="49" width="8.25" style="235" bestFit="1" customWidth="1"/>
    <col min="50" max="50" width="9" style="235"/>
    <col min="51" max="51" width="12.75" style="235" bestFit="1" customWidth="1"/>
    <col min="52" max="52" width="5" style="235" bestFit="1" customWidth="1"/>
    <col min="53" max="53" width="33" style="235" bestFit="1" customWidth="1"/>
    <col min="54" max="54" width="9" style="235"/>
    <col min="55" max="55" width="22.5" style="235" bestFit="1" customWidth="1"/>
    <col min="56" max="67" width="9" style="235"/>
    <col min="68" max="68" width="35.75" style="235" bestFit="1" customWidth="1"/>
    <col min="69" max="78" width="9" style="235"/>
    <col min="79" max="79" width="2.625" style="235" bestFit="1" customWidth="1"/>
    <col min="80" max="119" width="9" style="235"/>
    <col min="120" max="120" width="6.625" style="235" bestFit="1" customWidth="1"/>
    <col min="121" max="121" width="9" style="235"/>
    <col min="122" max="122" width="6.625" style="235" bestFit="1" customWidth="1"/>
    <col min="123" max="16384" width="9" style="235"/>
  </cols>
  <sheetData>
    <row r="1" spans="1:50" s="237" customFormat="1" ht="24" customHeight="1">
      <c r="A1" s="335" t="s">
        <v>700</v>
      </c>
      <c r="B1" s="343" t="s">
        <v>856</v>
      </c>
      <c r="C1" s="343" t="s">
        <v>701</v>
      </c>
      <c r="D1" s="335" t="s">
        <v>702</v>
      </c>
      <c r="E1" s="335" t="s">
        <v>703</v>
      </c>
      <c r="F1" s="335" t="s">
        <v>704</v>
      </c>
      <c r="G1" s="282" t="s">
        <v>963</v>
      </c>
      <c r="H1" s="283" t="s">
        <v>964</v>
      </c>
      <c r="I1" s="283" t="s">
        <v>965</v>
      </c>
      <c r="J1" s="283" t="s">
        <v>966</v>
      </c>
      <c r="K1" s="284" t="s">
        <v>967</v>
      </c>
      <c r="L1" s="335" t="s">
        <v>705</v>
      </c>
      <c r="M1" s="335" t="s">
        <v>706</v>
      </c>
      <c r="N1" s="335" t="s">
        <v>707</v>
      </c>
      <c r="O1" s="335" t="s">
        <v>708</v>
      </c>
      <c r="P1" s="335" t="s">
        <v>709</v>
      </c>
      <c r="Q1" s="333" t="s" ph="1">
        <v>698</v>
      </c>
      <c r="R1" s="333" t="s" ph="1">
        <v>710</v>
      </c>
      <c r="S1" s="333" t="s" ph="1">
        <v>711</v>
      </c>
      <c r="T1" s="335" t="s">
        <v>712</v>
      </c>
      <c r="U1" s="149" t="s">
        <v>713</v>
      </c>
      <c r="V1" s="150"/>
      <c r="W1" s="150"/>
      <c r="X1" s="150"/>
      <c r="Y1" s="151"/>
      <c r="Z1" s="152" t="s">
        <v>568</v>
      </c>
      <c r="AA1" s="150"/>
      <c r="AB1" s="150"/>
      <c r="AC1" s="150"/>
      <c r="AD1" s="153"/>
      <c r="AE1" s="152" t="s">
        <v>569</v>
      </c>
      <c r="AF1" s="150"/>
      <c r="AG1" s="150"/>
      <c r="AH1" s="150"/>
      <c r="AI1" s="153"/>
      <c r="AJ1" s="152" t="s">
        <v>795</v>
      </c>
      <c r="AK1" s="150"/>
      <c r="AL1" s="150"/>
      <c r="AM1" s="150"/>
      <c r="AN1" s="153"/>
      <c r="AO1" s="152" t="s">
        <v>795</v>
      </c>
      <c r="AP1" s="150"/>
      <c r="AQ1" s="150"/>
      <c r="AR1" s="150"/>
      <c r="AS1" s="153"/>
      <c r="AT1" s="337" t="s">
        <v>799</v>
      </c>
      <c r="AU1" s="215" t="s">
        <v>714</v>
      </c>
      <c r="AV1" s="216" t="s">
        <v>715</v>
      </c>
      <c r="AW1" s="215" t="s">
        <v>714</v>
      </c>
    </row>
    <row r="2" spans="1:50" s="237" customFormat="1" ht="15" customHeight="1">
      <c r="A2" s="336"/>
      <c r="B2" s="334"/>
      <c r="C2" s="334"/>
      <c r="D2" s="336"/>
      <c r="E2" s="336"/>
      <c r="F2" s="336"/>
      <c r="G2" s="344" t="s">
        <v>968</v>
      </c>
      <c r="H2" s="345"/>
      <c r="I2" s="345"/>
      <c r="J2" s="345"/>
      <c r="K2" s="346"/>
      <c r="L2" s="336"/>
      <c r="M2" s="336"/>
      <c r="N2" s="336"/>
      <c r="O2" s="336"/>
      <c r="P2" s="336"/>
      <c r="Q2" s="334" ph="1"/>
      <c r="R2" s="334" ph="1"/>
      <c r="S2" s="334" ph="1"/>
      <c r="T2" s="336"/>
      <c r="U2" s="154" t="s">
        <v>716</v>
      </c>
      <c r="V2" s="154" t="s">
        <v>717</v>
      </c>
      <c r="W2" s="154" t="s">
        <v>718</v>
      </c>
      <c r="X2" s="154" t="s">
        <v>719</v>
      </c>
      <c r="Y2" s="155" t="s">
        <v>720</v>
      </c>
      <c r="Z2" s="156" t="s">
        <v>716</v>
      </c>
      <c r="AA2" s="156" t="s">
        <v>717</v>
      </c>
      <c r="AB2" s="154" t="s">
        <v>718</v>
      </c>
      <c r="AC2" s="154" t="s">
        <v>719</v>
      </c>
      <c r="AD2" s="156" t="s">
        <v>721</v>
      </c>
      <c r="AE2" s="156" t="s">
        <v>716</v>
      </c>
      <c r="AF2" s="156" t="s">
        <v>717</v>
      </c>
      <c r="AG2" s="156" t="s">
        <v>718</v>
      </c>
      <c r="AH2" s="154" t="s">
        <v>719</v>
      </c>
      <c r="AI2" s="156" t="s">
        <v>721</v>
      </c>
      <c r="AJ2" s="156" t="s">
        <v>716</v>
      </c>
      <c r="AK2" s="156" t="s">
        <v>717</v>
      </c>
      <c r="AL2" s="156" t="s">
        <v>718</v>
      </c>
      <c r="AM2" s="154" t="s">
        <v>719</v>
      </c>
      <c r="AN2" s="156" t="s">
        <v>721</v>
      </c>
      <c r="AO2" s="156" t="s">
        <v>716</v>
      </c>
      <c r="AP2" s="156" t="s">
        <v>717</v>
      </c>
      <c r="AQ2" s="156" t="s">
        <v>718</v>
      </c>
      <c r="AR2" s="154" t="s">
        <v>719</v>
      </c>
      <c r="AS2" s="156" t="s">
        <v>721</v>
      </c>
      <c r="AT2" s="338"/>
      <c r="AU2" s="236"/>
      <c r="AV2" s="236"/>
      <c r="AW2" s="236"/>
    </row>
    <row r="3" spans="1:50">
      <c r="A3" s="265" t="s">
        <v>957</v>
      </c>
      <c r="B3" s="266"/>
      <c r="C3" s="143"/>
      <c r="D3" s="143"/>
      <c r="E3" s="143"/>
      <c r="F3" s="143"/>
      <c r="G3" s="285"/>
      <c r="H3" s="285"/>
      <c r="I3" s="285"/>
      <c r="J3" s="285"/>
      <c r="K3" s="285"/>
      <c r="L3" s="37"/>
      <c r="M3" s="37"/>
      <c r="N3" s="37"/>
      <c r="O3" s="37"/>
      <c r="P3" s="37"/>
      <c r="Q3" s="37"/>
      <c r="R3" s="37"/>
      <c r="S3" s="37"/>
      <c r="T3" s="36"/>
      <c r="U3" s="36"/>
      <c r="V3" s="35"/>
      <c r="W3" s="35"/>
      <c r="X3" s="35"/>
      <c r="Y3" s="142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255"/>
      <c r="AU3" s="234"/>
      <c r="AV3" s="234"/>
      <c r="AW3" s="234"/>
    </row>
    <row r="4" spans="1:50" s="43" customFormat="1" ht="12.75">
      <c r="A4" s="147" t="s">
        <v>699</v>
      </c>
      <c r="B4" s="61" t="s">
        <v>56</v>
      </c>
      <c r="C4" s="61" t="s">
        <v>56</v>
      </c>
      <c r="D4" s="61" t="s">
        <v>56</v>
      </c>
      <c r="E4" s="61" t="s">
        <v>49</v>
      </c>
      <c r="F4" s="147" t="s">
        <v>722</v>
      </c>
      <c r="G4" s="291" t="s">
        <v>999</v>
      </c>
      <c r="H4" s="292" t="s">
        <v>995</v>
      </c>
      <c r="I4" s="61" t="s">
        <v>969</v>
      </c>
      <c r="J4" s="286" t="s">
        <v>970</v>
      </c>
      <c r="K4" s="286" t="s">
        <v>970</v>
      </c>
      <c r="L4" s="61" t="s">
        <v>54</v>
      </c>
      <c r="M4" s="61" t="s">
        <v>723</v>
      </c>
      <c r="N4" s="61" t="s">
        <v>724</v>
      </c>
      <c r="O4" s="61" t="s">
        <v>101</v>
      </c>
      <c r="P4" s="61" t="s">
        <v>104</v>
      </c>
      <c r="Q4" s="61" t="s">
        <v>181</v>
      </c>
      <c r="R4" s="61" t="s">
        <v>743</v>
      </c>
      <c r="S4" s="61" t="s">
        <v>12</v>
      </c>
      <c r="T4" s="61" t="s">
        <v>725</v>
      </c>
      <c r="U4" s="61" t="str">
        <f t="shared" ref="U4:U10" si="0">LOWER(F4)</f>
        <v>clkin_sleep</v>
      </c>
      <c r="V4" s="61" t="s">
        <v>54</v>
      </c>
      <c r="W4" s="61" t="s">
        <v>744</v>
      </c>
      <c r="X4" s="61" t="s">
        <v>745</v>
      </c>
      <c r="Y4" s="162" t="s">
        <v>746</v>
      </c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219" t="s">
        <v>747</v>
      </c>
      <c r="AV4" s="272" t="s">
        <v>748</v>
      </c>
      <c r="AW4" s="219" t="s">
        <v>747</v>
      </c>
      <c r="AX4" s="238"/>
    </row>
    <row r="5" spans="1:50" s="61" customFormat="1">
      <c r="A5" s="147" t="s">
        <v>749</v>
      </c>
      <c r="B5" s="61" t="s">
        <v>56</v>
      </c>
      <c r="C5" s="61" t="s">
        <v>56</v>
      </c>
      <c r="D5" s="61" t="s">
        <v>56</v>
      </c>
      <c r="E5" s="61" t="s">
        <v>49</v>
      </c>
      <c r="F5" s="147" t="s">
        <v>750</v>
      </c>
      <c r="G5" s="291" t="s">
        <v>969</v>
      </c>
      <c r="H5" s="292" t="s">
        <v>995</v>
      </c>
      <c r="I5" s="61" t="s">
        <v>969</v>
      </c>
      <c r="J5" s="286" t="s">
        <v>970</v>
      </c>
      <c r="K5" s="286" t="s">
        <v>970</v>
      </c>
      <c r="L5" s="61" t="s">
        <v>54</v>
      </c>
      <c r="M5" s="61" t="s">
        <v>678</v>
      </c>
      <c r="N5" s="61" t="s">
        <v>751</v>
      </c>
      <c r="O5" s="61" t="s">
        <v>101</v>
      </c>
      <c r="P5" s="61" t="s">
        <v>104</v>
      </c>
      <c r="Q5" s="61" t="s">
        <v>78</v>
      </c>
      <c r="R5" s="61" t="s">
        <v>743</v>
      </c>
      <c r="S5" s="61" t="s">
        <v>726</v>
      </c>
      <c r="T5" s="61" t="s">
        <v>725</v>
      </c>
      <c r="U5" s="61" t="str">
        <f t="shared" si="0"/>
        <v>rstin_n</v>
      </c>
      <c r="V5" s="61" t="s">
        <v>54</v>
      </c>
      <c r="W5" s="61" t="s">
        <v>744</v>
      </c>
      <c r="X5" s="61" t="s">
        <v>678</v>
      </c>
      <c r="Y5" s="162" t="s">
        <v>752</v>
      </c>
      <c r="Z5" s="239"/>
      <c r="AU5" s="219" t="s">
        <v>747</v>
      </c>
      <c r="AV5" s="273"/>
      <c r="AW5" s="219" t="s">
        <v>747</v>
      </c>
      <c r="AX5" s="240"/>
    </row>
    <row r="6" spans="1:50" s="61" customFormat="1">
      <c r="A6" s="147" t="s">
        <v>749</v>
      </c>
      <c r="B6" s="61" t="s">
        <v>56</v>
      </c>
      <c r="C6" s="61" t="s">
        <v>56</v>
      </c>
      <c r="D6" s="61" t="s">
        <v>56</v>
      </c>
      <c r="E6" s="61" t="s">
        <v>49</v>
      </c>
      <c r="F6" s="147" t="s">
        <v>753</v>
      </c>
      <c r="G6" s="291" t="s">
        <v>999</v>
      </c>
      <c r="H6" s="43" t="s">
        <v>969</v>
      </c>
      <c r="I6" s="61" t="s">
        <v>969</v>
      </c>
      <c r="J6" s="286" t="s">
        <v>970</v>
      </c>
      <c r="K6" s="286" t="s">
        <v>970</v>
      </c>
      <c r="L6" s="61" t="s">
        <v>103</v>
      </c>
      <c r="M6" s="61" t="s">
        <v>678</v>
      </c>
      <c r="N6" s="61" t="s">
        <v>751</v>
      </c>
      <c r="O6" s="61" t="s">
        <v>101</v>
      </c>
      <c r="P6" s="61" t="s">
        <v>102</v>
      </c>
      <c r="Q6" s="61" t="s">
        <v>50</v>
      </c>
      <c r="R6" s="61" t="s">
        <v>754</v>
      </c>
      <c r="S6" s="61" t="s">
        <v>46</v>
      </c>
      <c r="T6" s="61" t="s">
        <v>727</v>
      </c>
      <c r="U6" s="61" t="str">
        <f t="shared" si="0"/>
        <v>rstout_n</v>
      </c>
      <c r="V6" s="61" t="s">
        <v>103</v>
      </c>
      <c r="W6" s="61" t="s">
        <v>744</v>
      </c>
      <c r="X6" s="61" t="s">
        <v>678</v>
      </c>
      <c r="Y6" s="162" t="s">
        <v>755</v>
      </c>
      <c r="Z6" s="239"/>
      <c r="AU6" s="219" t="s">
        <v>747</v>
      </c>
      <c r="AV6" s="273"/>
      <c r="AW6" s="219" t="s">
        <v>747</v>
      </c>
      <c r="AX6" s="240"/>
    </row>
    <row r="7" spans="1:50" s="61" customFormat="1" ht="12.75">
      <c r="A7" s="147" t="s">
        <v>749</v>
      </c>
      <c r="B7" s="61" t="s">
        <v>56</v>
      </c>
      <c r="C7" s="61" t="s">
        <v>56</v>
      </c>
      <c r="D7" s="61" t="s">
        <v>56</v>
      </c>
      <c r="E7" s="61" t="s">
        <v>48</v>
      </c>
      <c r="F7" s="147" t="s">
        <v>756</v>
      </c>
      <c r="G7" s="291" t="s">
        <v>969</v>
      </c>
      <c r="H7" s="43" t="s">
        <v>969</v>
      </c>
      <c r="I7" s="61" t="s">
        <v>969</v>
      </c>
      <c r="J7" s="286" t="s">
        <v>970</v>
      </c>
      <c r="K7" s="286" t="s">
        <v>970</v>
      </c>
      <c r="L7" s="61" t="s">
        <v>53</v>
      </c>
      <c r="M7" s="61" t="s">
        <v>757</v>
      </c>
      <c r="N7" s="61" t="s">
        <v>751</v>
      </c>
      <c r="O7" s="61" t="s">
        <v>101</v>
      </c>
      <c r="P7" s="61" t="s">
        <v>104</v>
      </c>
      <c r="Q7" s="61" t="s">
        <v>78</v>
      </c>
      <c r="R7" s="61" t="s">
        <v>651</v>
      </c>
      <c r="S7" s="61" t="s">
        <v>46</v>
      </c>
      <c r="T7" s="61" t="s">
        <v>727</v>
      </c>
      <c r="U7" s="61" t="str">
        <f t="shared" si="0"/>
        <v>pmu_irq_n</v>
      </c>
      <c r="V7" s="61" t="s">
        <v>53</v>
      </c>
      <c r="W7" s="61" t="s">
        <v>744</v>
      </c>
      <c r="X7" s="61" t="s">
        <v>678</v>
      </c>
      <c r="Y7" s="162" t="s">
        <v>758</v>
      </c>
      <c r="AU7" s="219" t="s">
        <v>747</v>
      </c>
      <c r="AV7" s="273"/>
      <c r="AW7" s="219" t="s">
        <v>747</v>
      </c>
      <c r="AX7" s="240"/>
    </row>
    <row r="8" spans="1:50" s="43" customFormat="1" ht="12.75">
      <c r="A8" s="147" t="s">
        <v>749</v>
      </c>
      <c r="B8" s="61" t="s">
        <v>56</v>
      </c>
      <c r="C8" s="61" t="s">
        <v>56</v>
      </c>
      <c r="D8" s="61" t="s">
        <v>56</v>
      </c>
      <c r="E8" s="147" t="s">
        <v>48</v>
      </c>
      <c r="F8" s="61" t="s">
        <v>759</v>
      </c>
      <c r="G8" s="291" t="s">
        <v>969</v>
      </c>
      <c r="H8" s="43" t="s">
        <v>969</v>
      </c>
      <c r="I8" s="61" t="s">
        <v>969</v>
      </c>
      <c r="J8" s="286" t="s">
        <v>970</v>
      </c>
      <c r="K8" s="286" t="s">
        <v>970</v>
      </c>
      <c r="L8" s="61" t="s">
        <v>51</v>
      </c>
      <c r="M8" s="61" t="s">
        <v>760</v>
      </c>
      <c r="N8" s="61" t="s">
        <v>751</v>
      </c>
      <c r="O8" s="61" t="s">
        <v>101</v>
      </c>
      <c r="P8" s="61" t="s">
        <v>102</v>
      </c>
      <c r="Q8" s="61" t="s">
        <v>186</v>
      </c>
      <c r="R8" s="61" t="s">
        <v>652</v>
      </c>
      <c r="S8" s="61" t="s">
        <v>46</v>
      </c>
      <c r="T8" s="61" t="s">
        <v>727</v>
      </c>
      <c r="U8" s="61" t="str">
        <f t="shared" si="0"/>
        <v>pmu_ssi</v>
      </c>
      <c r="V8" s="61" t="s">
        <v>51</v>
      </c>
      <c r="W8" s="61" t="s">
        <v>744</v>
      </c>
      <c r="X8" s="61" t="s">
        <v>680</v>
      </c>
      <c r="Y8" s="162"/>
      <c r="Z8" s="147"/>
      <c r="AA8" s="61"/>
      <c r="AB8" s="61"/>
      <c r="AC8" s="61"/>
      <c r="AD8" s="61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219" t="s">
        <v>747</v>
      </c>
      <c r="AV8" s="273"/>
      <c r="AW8" s="219" t="s">
        <v>747</v>
      </c>
      <c r="AX8" s="238"/>
    </row>
    <row r="9" spans="1:50" s="43" customFormat="1" ht="12.75">
      <c r="A9" s="147" t="s">
        <v>749</v>
      </c>
      <c r="B9" s="61" t="s">
        <v>56</v>
      </c>
      <c r="C9" s="61" t="s">
        <v>56</v>
      </c>
      <c r="D9" s="61" t="s">
        <v>56</v>
      </c>
      <c r="E9" s="147" t="s">
        <v>48</v>
      </c>
      <c r="F9" s="61" t="s">
        <v>761</v>
      </c>
      <c r="G9" s="291" t="s">
        <v>969</v>
      </c>
      <c r="H9" s="43" t="s">
        <v>969</v>
      </c>
      <c r="I9" s="61" t="s">
        <v>969</v>
      </c>
      <c r="J9" s="286" t="s">
        <v>970</v>
      </c>
      <c r="K9" s="286" t="s">
        <v>970</v>
      </c>
      <c r="L9" s="61" t="s">
        <v>51</v>
      </c>
      <c r="M9" s="61" t="s">
        <v>760</v>
      </c>
      <c r="N9" s="61" t="s">
        <v>751</v>
      </c>
      <c r="O9" s="61" t="s">
        <v>101</v>
      </c>
      <c r="P9" s="61" t="s">
        <v>102</v>
      </c>
      <c r="Q9" s="61" t="s">
        <v>186</v>
      </c>
      <c r="R9" s="61" t="s">
        <v>653</v>
      </c>
      <c r="S9" s="61" t="s">
        <v>46</v>
      </c>
      <c r="T9" s="61" t="s">
        <v>727</v>
      </c>
      <c r="U9" s="61" t="str">
        <f t="shared" si="0"/>
        <v>pmu_hkadc_ssi</v>
      </c>
      <c r="V9" s="61" t="s">
        <v>51</v>
      </c>
      <c r="W9" s="61" t="s">
        <v>744</v>
      </c>
      <c r="X9" s="61" t="s">
        <v>680</v>
      </c>
      <c r="Y9" s="162"/>
      <c r="Z9" s="147"/>
      <c r="AA9" s="61"/>
      <c r="AB9" s="61"/>
      <c r="AC9" s="61"/>
      <c r="AD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219" t="s">
        <v>747</v>
      </c>
      <c r="AV9" s="273"/>
      <c r="AW9" s="219" t="s">
        <v>747</v>
      </c>
      <c r="AX9" s="238"/>
    </row>
    <row r="10" spans="1:50" s="43" customFormat="1" ht="12.75">
      <c r="A10" s="147" t="s">
        <v>749</v>
      </c>
      <c r="B10" s="61" t="s">
        <v>56</v>
      </c>
      <c r="C10" s="61" t="s">
        <v>56</v>
      </c>
      <c r="D10" s="61" t="s">
        <v>56</v>
      </c>
      <c r="E10" s="147" t="s">
        <v>48</v>
      </c>
      <c r="F10" s="61" t="s">
        <v>762</v>
      </c>
      <c r="G10" s="291" t="s">
        <v>969</v>
      </c>
      <c r="H10" s="43" t="s">
        <v>969</v>
      </c>
      <c r="I10" s="61" t="s">
        <v>969</v>
      </c>
      <c r="J10" s="286" t="s">
        <v>970</v>
      </c>
      <c r="K10" s="286" t="s">
        <v>970</v>
      </c>
      <c r="L10" s="61" t="s">
        <v>51</v>
      </c>
      <c r="M10" s="61" t="s">
        <v>760</v>
      </c>
      <c r="N10" s="61" t="s">
        <v>751</v>
      </c>
      <c r="O10" s="61" t="s">
        <v>101</v>
      </c>
      <c r="P10" s="61" t="s">
        <v>102</v>
      </c>
      <c r="Q10" s="214" t="s">
        <v>186</v>
      </c>
      <c r="R10" s="61" t="s">
        <v>654</v>
      </c>
      <c r="S10" s="61" t="s">
        <v>46</v>
      </c>
      <c r="T10" s="61" t="s">
        <v>727</v>
      </c>
      <c r="U10" s="61" t="str">
        <f t="shared" si="0"/>
        <v>pmu_auxdac0_ssi</v>
      </c>
      <c r="V10" s="61" t="s">
        <v>52</v>
      </c>
      <c r="W10" s="61" t="s">
        <v>744</v>
      </c>
      <c r="X10" s="61" t="s">
        <v>680</v>
      </c>
      <c r="Y10" s="162"/>
      <c r="Z10" s="147"/>
      <c r="AA10" s="147"/>
      <c r="AB10" s="147"/>
      <c r="AC10" s="147"/>
      <c r="AD10" s="61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219" t="s">
        <v>747</v>
      </c>
      <c r="AV10" s="273"/>
      <c r="AW10" s="219" t="s">
        <v>747</v>
      </c>
      <c r="AX10" s="238"/>
    </row>
    <row r="11" spans="1:50" s="43" customFormat="1" ht="12.75">
      <c r="A11" s="147" t="s">
        <v>749</v>
      </c>
      <c r="B11" s="61" t="s">
        <v>56</v>
      </c>
      <c r="C11" s="61" t="s">
        <v>56</v>
      </c>
      <c r="D11" s="61" t="s">
        <v>56</v>
      </c>
      <c r="E11" s="61" t="s">
        <v>48</v>
      </c>
      <c r="F11" s="147" t="s">
        <v>763</v>
      </c>
      <c r="G11" s="291" t="s">
        <v>969</v>
      </c>
      <c r="H11" s="43" t="s">
        <v>969</v>
      </c>
      <c r="I11" s="61" t="s">
        <v>969</v>
      </c>
      <c r="J11" s="286" t="s">
        <v>970</v>
      </c>
      <c r="K11" s="286" t="s">
        <v>970</v>
      </c>
      <c r="L11" s="61" t="s">
        <v>51</v>
      </c>
      <c r="M11" s="61" t="s">
        <v>760</v>
      </c>
      <c r="N11" s="61" t="s">
        <v>751</v>
      </c>
      <c r="O11" s="61" t="s">
        <v>101</v>
      </c>
      <c r="P11" s="61" t="s">
        <v>102</v>
      </c>
      <c r="Q11" s="214" t="s">
        <v>184</v>
      </c>
      <c r="R11" s="61" t="s">
        <v>655</v>
      </c>
      <c r="S11" s="61" t="s">
        <v>46</v>
      </c>
      <c r="T11" s="61" t="s">
        <v>727</v>
      </c>
      <c r="U11" s="61" t="str">
        <f>LOWER(F11)</f>
        <v>ch0_tcxo_en</v>
      </c>
      <c r="V11" s="61" t="s">
        <v>52</v>
      </c>
      <c r="W11" s="61" t="s">
        <v>744</v>
      </c>
      <c r="X11" s="61" t="s">
        <v>678</v>
      </c>
      <c r="Y11" s="162" t="s">
        <v>764</v>
      </c>
      <c r="Z11" s="147"/>
      <c r="AA11" s="147"/>
      <c r="AB11" s="147"/>
      <c r="AC11" s="147"/>
      <c r="AD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219" t="s">
        <v>747</v>
      </c>
      <c r="AV11" s="273"/>
      <c r="AW11" s="219" t="s">
        <v>747</v>
      </c>
      <c r="AX11" s="238"/>
    </row>
    <row r="12" spans="1:50" s="43" customFormat="1" ht="48" customHeight="1">
      <c r="A12" s="147" t="s">
        <v>749</v>
      </c>
      <c r="B12" s="61" t="s">
        <v>56</v>
      </c>
      <c r="C12" s="61" t="s">
        <v>56</v>
      </c>
      <c r="D12" s="61" t="s">
        <v>56</v>
      </c>
      <c r="E12" s="61" t="s">
        <v>48</v>
      </c>
      <c r="F12" s="147" t="s">
        <v>765</v>
      </c>
      <c r="G12" s="291" t="s">
        <v>996</v>
      </c>
      <c r="H12" s="43" t="s">
        <v>969</v>
      </c>
      <c r="I12" s="61" t="s">
        <v>969</v>
      </c>
      <c r="J12" s="286" t="s">
        <v>970</v>
      </c>
      <c r="K12" s="286" t="s">
        <v>970</v>
      </c>
      <c r="L12" s="61" t="s">
        <v>51</v>
      </c>
      <c r="M12" s="61" t="s">
        <v>760</v>
      </c>
      <c r="N12" s="61" t="s">
        <v>751</v>
      </c>
      <c r="O12" s="61" t="s">
        <v>101</v>
      </c>
      <c r="P12" s="61" t="s">
        <v>102</v>
      </c>
      <c r="Q12" s="214" t="s">
        <v>184</v>
      </c>
      <c r="R12" s="61" t="s">
        <v>57</v>
      </c>
      <c r="S12" s="61" t="s">
        <v>46</v>
      </c>
      <c r="T12" s="61" t="s">
        <v>727</v>
      </c>
      <c r="U12" s="61" t="str">
        <f>LOWER(F12)</f>
        <v>peri_en</v>
      </c>
      <c r="V12" s="61" t="s">
        <v>52</v>
      </c>
      <c r="W12" s="61" t="s">
        <v>744</v>
      </c>
      <c r="X12" s="61" t="s">
        <v>678</v>
      </c>
      <c r="Y12" s="213" t="s">
        <v>766</v>
      </c>
      <c r="Z12" s="147"/>
      <c r="AA12" s="147"/>
      <c r="AB12" s="147"/>
      <c r="AC12" s="147"/>
      <c r="AD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219" t="s">
        <v>747</v>
      </c>
      <c r="AV12" s="273"/>
      <c r="AW12" s="219" t="s">
        <v>747</v>
      </c>
      <c r="AX12" s="238"/>
    </row>
    <row r="13" spans="1:50" s="43" customFormat="1" ht="12.75">
      <c r="A13" s="147" t="s">
        <v>749</v>
      </c>
      <c r="B13" s="61" t="s">
        <v>56</v>
      </c>
      <c r="C13" s="61" t="s">
        <v>56</v>
      </c>
      <c r="D13" s="61" t="s">
        <v>56</v>
      </c>
      <c r="E13" s="61" t="s">
        <v>48</v>
      </c>
      <c r="F13" s="61" t="s">
        <v>994</v>
      </c>
      <c r="G13" s="281" t="s">
        <v>1003</v>
      </c>
      <c r="H13" s="43" t="s">
        <v>969</v>
      </c>
      <c r="I13" s="61" t="s">
        <v>969</v>
      </c>
      <c r="J13" s="286" t="s">
        <v>970</v>
      </c>
      <c r="K13" s="286" t="s">
        <v>970</v>
      </c>
      <c r="L13" s="61" t="s">
        <v>51</v>
      </c>
      <c r="M13" s="61" t="s">
        <v>760</v>
      </c>
      <c r="N13" s="61" t="s">
        <v>751</v>
      </c>
      <c r="O13" s="61" t="s">
        <v>101</v>
      </c>
      <c r="P13" s="61" t="s">
        <v>102</v>
      </c>
      <c r="Q13" s="214" t="s">
        <v>186</v>
      </c>
      <c r="R13" s="61" t="s">
        <v>802</v>
      </c>
      <c r="S13" s="61" t="s">
        <v>46</v>
      </c>
      <c r="T13" s="61" t="s">
        <v>727</v>
      </c>
      <c r="U13" s="61" t="str">
        <f>LOWER(F13)</f>
        <v>pmu_hold</v>
      </c>
      <c r="V13" s="61" t="s">
        <v>52</v>
      </c>
      <c r="W13" s="280" t="s">
        <v>961</v>
      </c>
      <c r="X13" s="61" t="s">
        <v>678</v>
      </c>
      <c r="Y13" s="162" t="s">
        <v>767</v>
      </c>
      <c r="Z13" s="280" t="s">
        <v>800</v>
      </c>
      <c r="AA13" s="280" t="s">
        <v>51</v>
      </c>
      <c r="AB13" s="280" t="s">
        <v>728</v>
      </c>
      <c r="AC13" s="280" t="s">
        <v>679</v>
      </c>
      <c r="AD13" s="61"/>
      <c r="AI13" s="61"/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219" t="s">
        <v>747</v>
      </c>
      <c r="AV13" s="274"/>
      <c r="AW13" s="219" t="s">
        <v>747</v>
      </c>
      <c r="AX13" s="238"/>
    </row>
    <row r="14" spans="1:50">
      <c r="A14" s="187" t="s">
        <v>768</v>
      </c>
      <c r="B14" s="266"/>
      <c r="C14" s="143"/>
      <c r="D14" s="143"/>
      <c r="E14" s="143"/>
      <c r="F14" s="143"/>
      <c r="G14" s="278"/>
      <c r="H14" s="278"/>
      <c r="I14" s="278"/>
      <c r="J14" s="278"/>
      <c r="K14" s="278"/>
      <c r="L14" s="37"/>
      <c r="M14" s="37"/>
      <c r="N14" s="37"/>
      <c r="O14" s="37"/>
      <c r="P14" s="37"/>
      <c r="Q14" s="37"/>
      <c r="R14" s="37"/>
      <c r="S14" s="37"/>
      <c r="T14" s="35"/>
      <c r="U14" s="35"/>
      <c r="V14" s="35"/>
      <c r="W14" s="35"/>
      <c r="X14" s="35"/>
      <c r="Y14" s="142"/>
      <c r="Z14" s="35"/>
      <c r="AA14" s="35"/>
      <c r="AB14" s="35"/>
      <c r="AC14" s="37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256"/>
      <c r="AU14" s="234"/>
      <c r="AV14" s="234"/>
      <c r="AW14" s="234"/>
    </row>
    <row r="15" spans="1:50" s="177" customFormat="1" ht="12.75">
      <c r="A15" s="177" t="s">
        <v>749</v>
      </c>
      <c r="B15" s="177" t="s">
        <v>56</v>
      </c>
      <c r="C15" s="177" t="s">
        <v>56</v>
      </c>
      <c r="D15" s="177" t="s">
        <v>769</v>
      </c>
      <c r="E15" s="177" t="s">
        <v>770</v>
      </c>
      <c r="F15" s="177" t="s">
        <v>771</v>
      </c>
      <c r="G15" s="281" t="s">
        <v>993</v>
      </c>
      <c r="H15" s="43" t="s">
        <v>969</v>
      </c>
      <c r="I15" s="61" t="s">
        <v>969</v>
      </c>
      <c r="J15" s="286" t="s">
        <v>970</v>
      </c>
      <c r="K15" s="286" t="s">
        <v>970</v>
      </c>
      <c r="L15" s="147" t="s">
        <v>51</v>
      </c>
      <c r="M15" s="61" t="s">
        <v>760</v>
      </c>
      <c r="N15" s="177" t="s">
        <v>751</v>
      </c>
      <c r="O15" s="147" t="s">
        <v>101</v>
      </c>
      <c r="P15" s="61" t="s">
        <v>102</v>
      </c>
      <c r="Q15" s="242" t="s">
        <v>186</v>
      </c>
      <c r="R15" s="147" t="s">
        <v>803</v>
      </c>
      <c r="S15" s="177" t="s">
        <v>772</v>
      </c>
      <c r="T15" s="177" t="s">
        <v>727</v>
      </c>
      <c r="U15" s="177" t="s">
        <v>773</v>
      </c>
      <c r="V15" s="177" t="s">
        <v>532</v>
      </c>
      <c r="W15" s="61" t="s">
        <v>744</v>
      </c>
      <c r="X15" s="177" t="s">
        <v>774</v>
      </c>
      <c r="Y15" s="220" t="s">
        <v>775</v>
      </c>
      <c r="Z15" s="147"/>
      <c r="AT15" s="61"/>
      <c r="AU15" s="219" t="s">
        <v>747</v>
      </c>
      <c r="AV15" s="275" t="s">
        <v>748</v>
      </c>
      <c r="AW15" s="219" t="s">
        <v>747</v>
      </c>
    </row>
    <row r="16" spans="1:50" s="177" customFormat="1" ht="12.75">
      <c r="A16" s="177" t="s">
        <v>749</v>
      </c>
      <c r="B16" s="177" t="s">
        <v>56</v>
      </c>
      <c r="C16" s="177" t="s">
        <v>56</v>
      </c>
      <c r="D16" s="177" t="s">
        <v>769</v>
      </c>
      <c r="E16" s="177" t="s">
        <v>777</v>
      </c>
      <c r="F16" s="177" t="s">
        <v>778</v>
      </c>
      <c r="G16" s="281" t="s">
        <v>993</v>
      </c>
      <c r="H16" s="43" t="s">
        <v>969</v>
      </c>
      <c r="I16" s="61" t="s">
        <v>969</v>
      </c>
      <c r="J16" s="286" t="s">
        <v>970</v>
      </c>
      <c r="K16" s="286" t="s">
        <v>970</v>
      </c>
      <c r="L16" s="147" t="s">
        <v>51</v>
      </c>
      <c r="M16" s="61" t="s">
        <v>760</v>
      </c>
      <c r="N16" s="177" t="s">
        <v>751</v>
      </c>
      <c r="O16" s="147" t="s">
        <v>101</v>
      </c>
      <c r="P16" s="61" t="s">
        <v>102</v>
      </c>
      <c r="Q16" s="242" t="s">
        <v>186</v>
      </c>
      <c r="R16" s="147" t="s">
        <v>537</v>
      </c>
      <c r="S16" s="177" t="s">
        <v>772</v>
      </c>
      <c r="T16" s="177" t="s">
        <v>727</v>
      </c>
      <c r="U16" s="177" t="s">
        <v>779</v>
      </c>
      <c r="V16" s="177" t="s">
        <v>780</v>
      </c>
      <c r="W16" s="61" t="s">
        <v>744</v>
      </c>
      <c r="X16" s="177" t="s">
        <v>774</v>
      </c>
      <c r="Y16" s="220" t="s">
        <v>781</v>
      </c>
      <c r="Z16" s="147"/>
      <c r="AT16" s="61"/>
      <c r="AU16" s="219" t="s">
        <v>747</v>
      </c>
      <c r="AV16" s="276"/>
      <c r="AW16" s="219" t="s">
        <v>747</v>
      </c>
    </row>
    <row r="17" spans="1:122" s="177" customFormat="1" ht="12.75">
      <c r="A17" s="177" t="s">
        <v>749</v>
      </c>
      <c r="B17" s="177" t="s">
        <v>56</v>
      </c>
      <c r="C17" s="177" t="s">
        <v>56</v>
      </c>
      <c r="D17" s="177" t="s">
        <v>769</v>
      </c>
      <c r="E17" s="177" t="s">
        <v>777</v>
      </c>
      <c r="F17" s="177" t="s">
        <v>782</v>
      </c>
      <c r="G17" s="147" t="s">
        <v>993</v>
      </c>
      <c r="H17" s="43" t="s">
        <v>969</v>
      </c>
      <c r="I17" s="61" t="s">
        <v>969</v>
      </c>
      <c r="J17" s="286" t="s">
        <v>970</v>
      </c>
      <c r="K17" s="286" t="s">
        <v>970</v>
      </c>
      <c r="L17" s="147" t="s">
        <v>51</v>
      </c>
      <c r="M17" s="61" t="s">
        <v>760</v>
      </c>
      <c r="N17" s="177" t="s">
        <v>751</v>
      </c>
      <c r="O17" s="147" t="s">
        <v>101</v>
      </c>
      <c r="P17" s="61" t="s">
        <v>102</v>
      </c>
      <c r="Q17" s="277" t="s">
        <v>186</v>
      </c>
      <c r="R17" s="147" t="s">
        <v>804</v>
      </c>
      <c r="S17" s="177" t="s">
        <v>772</v>
      </c>
      <c r="T17" s="177" t="s">
        <v>727</v>
      </c>
      <c r="U17" s="177" t="s">
        <v>851</v>
      </c>
      <c r="V17" s="177" t="s">
        <v>51</v>
      </c>
      <c r="W17" s="61" t="s">
        <v>852</v>
      </c>
      <c r="X17" s="177" t="s">
        <v>774</v>
      </c>
      <c r="Y17" s="220" t="s">
        <v>783</v>
      </c>
      <c r="Z17" s="147"/>
      <c r="AE17" s="61" t="s">
        <v>828</v>
      </c>
      <c r="AF17" s="61" t="s">
        <v>52</v>
      </c>
      <c r="AG17" s="61" t="s">
        <v>850</v>
      </c>
      <c r="AT17" s="61"/>
      <c r="AU17" s="219" t="s">
        <v>747</v>
      </c>
      <c r="AW17" s="219" t="s">
        <v>747</v>
      </c>
    </row>
    <row r="18" spans="1:122" s="248" customFormat="1">
      <c r="A18" s="339" t="s">
        <v>784</v>
      </c>
      <c r="B18" s="340"/>
      <c r="C18" s="340"/>
      <c r="D18" s="340"/>
      <c r="E18" s="340"/>
      <c r="F18" s="340"/>
      <c r="G18" s="278"/>
      <c r="H18" s="278"/>
      <c r="I18" s="278"/>
      <c r="J18" s="278"/>
      <c r="K18" s="278"/>
      <c r="L18" s="243"/>
      <c r="M18" s="243"/>
      <c r="N18" s="243"/>
      <c r="O18" s="243"/>
      <c r="P18" s="243"/>
      <c r="Q18" s="244"/>
      <c r="R18" s="37"/>
      <c r="S18" s="37"/>
      <c r="T18" s="36"/>
      <c r="U18" s="37"/>
      <c r="V18" s="36"/>
      <c r="W18" s="36"/>
      <c r="X18" s="37"/>
      <c r="Y18" s="245"/>
      <c r="Z18" s="246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256"/>
      <c r="AU18" s="247"/>
      <c r="AV18" s="247"/>
      <c r="AW18" s="247"/>
    </row>
    <row r="19" spans="1:122" s="43" customFormat="1" ht="12.75">
      <c r="A19" s="147" t="s">
        <v>749</v>
      </c>
      <c r="B19" s="61" t="s">
        <v>769</v>
      </c>
      <c r="C19" s="61" t="s">
        <v>769</v>
      </c>
      <c r="D19" s="61" t="s">
        <v>769</v>
      </c>
      <c r="E19" s="178" t="s">
        <v>48</v>
      </c>
      <c r="F19" s="147" t="s">
        <v>785</v>
      </c>
      <c r="G19" s="147" t="s">
        <v>993</v>
      </c>
      <c r="H19" s="43" t="s">
        <v>969</v>
      </c>
      <c r="I19" s="61" t="s">
        <v>969</v>
      </c>
      <c r="J19" s="286" t="s">
        <v>970</v>
      </c>
      <c r="K19" s="286" t="s">
        <v>970</v>
      </c>
      <c r="L19" s="61" t="s">
        <v>51</v>
      </c>
      <c r="M19" s="61" t="s">
        <v>733</v>
      </c>
      <c r="N19" s="61" t="s">
        <v>751</v>
      </c>
      <c r="O19" s="61" t="s">
        <v>101</v>
      </c>
      <c r="P19" s="61" t="s">
        <v>102</v>
      </c>
      <c r="Q19" s="214" t="s">
        <v>184</v>
      </c>
      <c r="R19" s="147" t="s">
        <v>805</v>
      </c>
      <c r="S19" s="61" t="s">
        <v>46</v>
      </c>
      <c r="T19" s="177" t="s">
        <v>727</v>
      </c>
      <c r="U19" s="61" t="str">
        <f>LOWER(F19)</f>
        <v>uart0_txd</v>
      </c>
      <c r="V19" s="61" t="s">
        <v>52</v>
      </c>
      <c r="W19" s="61" t="s">
        <v>832</v>
      </c>
      <c r="X19" s="61" t="s">
        <v>786</v>
      </c>
      <c r="Y19" s="61" t="s">
        <v>787</v>
      </c>
      <c r="Z19" s="280"/>
      <c r="AA19" s="280"/>
      <c r="AB19" s="280"/>
      <c r="AC19" s="280"/>
      <c r="AD19" s="61"/>
      <c r="AE19" s="147" t="s">
        <v>822</v>
      </c>
      <c r="AF19" s="147" t="s">
        <v>52</v>
      </c>
      <c r="AG19" s="147" t="s">
        <v>838</v>
      </c>
      <c r="AH19" s="262"/>
      <c r="AI19" s="61"/>
      <c r="AM19" s="61"/>
      <c r="AN19" s="61"/>
      <c r="AO19" s="61"/>
      <c r="AP19" s="61"/>
      <c r="AQ19" s="61"/>
      <c r="AR19" s="61"/>
      <c r="AS19" s="61"/>
      <c r="AT19" s="61"/>
      <c r="AU19" s="219" t="s">
        <v>747</v>
      </c>
      <c r="AV19" s="272" t="s">
        <v>748</v>
      </c>
      <c r="AW19" s="219" t="s">
        <v>747</v>
      </c>
    </row>
    <row r="20" spans="1:122" s="43" customFormat="1" ht="12.75">
      <c r="A20" s="147" t="s">
        <v>749</v>
      </c>
      <c r="B20" s="61" t="s">
        <v>769</v>
      </c>
      <c r="C20" s="61" t="s">
        <v>769</v>
      </c>
      <c r="D20" s="61" t="s">
        <v>769</v>
      </c>
      <c r="E20" s="178" t="s">
        <v>48</v>
      </c>
      <c r="F20" s="147" t="s">
        <v>788</v>
      </c>
      <c r="G20" s="147" t="s">
        <v>993</v>
      </c>
      <c r="H20" s="43" t="s">
        <v>969</v>
      </c>
      <c r="I20" s="61" t="s">
        <v>969</v>
      </c>
      <c r="J20" s="286" t="s">
        <v>970</v>
      </c>
      <c r="K20" s="286" t="s">
        <v>970</v>
      </c>
      <c r="L20" s="61" t="s">
        <v>51</v>
      </c>
      <c r="M20" s="61" t="s">
        <v>733</v>
      </c>
      <c r="N20" s="61" t="s">
        <v>751</v>
      </c>
      <c r="O20" s="61" t="s">
        <v>101</v>
      </c>
      <c r="P20" s="61" t="s">
        <v>102</v>
      </c>
      <c r="Q20" s="61" t="s">
        <v>78</v>
      </c>
      <c r="R20" s="147" t="s">
        <v>58</v>
      </c>
      <c r="S20" s="61" t="s">
        <v>46</v>
      </c>
      <c r="T20" s="177" t="s">
        <v>727</v>
      </c>
      <c r="U20" s="61" t="str">
        <f>LOWER(F20)</f>
        <v>uart0_rxd</v>
      </c>
      <c r="V20" s="61" t="s">
        <v>53</v>
      </c>
      <c r="W20" s="61" t="s">
        <v>960</v>
      </c>
      <c r="X20" s="61" t="s">
        <v>786</v>
      </c>
      <c r="Y20" s="61" t="s">
        <v>789</v>
      </c>
      <c r="Z20" s="61" t="s">
        <v>830</v>
      </c>
      <c r="AA20" s="61" t="s">
        <v>51</v>
      </c>
      <c r="AB20" s="61" t="s">
        <v>837</v>
      </c>
      <c r="AC20" s="61" t="s">
        <v>679</v>
      </c>
      <c r="AD20" s="61"/>
      <c r="AE20" s="147" t="s">
        <v>823</v>
      </c>
      <c r="AF20" s="147" t="s">
        <v>52</v>
      </c>
      <c r="AG20" s="147" t="s">
        <v>839</v>
      </c>
      <c r="AH20" s="262"/>
      <c r="AI20" s="61"/>
      <c r="AM20" s="61"/>
      <c r="AN20" s="61"/>
      <c r="AO20" s="61"/>
      <c r="AP20" s="61"/>
      <c r="AQ20" s="61"/>
      <c r="AR20" s="61"/>
      <c r="AS20" s="61"/>
      <c r="AT20" s="61"/>
      <c r="AU20" s="219" t="s">
        <v>747</v>
      </c>
      <c r="AV20" s="274"/>
      <c r="AW20" s="219" t="s">
        <v>747</v>
      </c>
    </row>
    <row r="21" spans="1:122">
      <c r="A21" s="264" t="s">
        <v>853</v>
      </c>
      <c r="B21" s="266"/>
      <c r="C21" s="143"/>
      <c r="D21" s="143"/>
      <c r="E21" s="143"/>
      <c r="F21" s="143"/>
      <c r="G21" s="278"/>
      <c r="H21" s="278"/>
      <c r="I21" s="278"/>
      <c r="J21" s="278"/>
      <c r="K21" s="278"/>
      <c r="L21" s="37"/>
      <c r="M21" s="37"/>
      <c r="N21" s="37"/>
      <c r="O21" s="37"/>
      <c r="P21" s="37"/>
      <c r="Q21" s="37"/>
      <c r="R21" s="37"/>
      <c r="S21" s="37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261"/>
      <c r="AF21" s="261"/>
      <c r="AG21" s="261"/>
      <c r="AH21" s="263"/>
      <c r="AI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</row>
    <row r="22" spans="1:122" s="43" customFormat="1" ht="12.75">
      <c r="A22" s="147" t="s">
        <v>524</v>
      </c>
      <c r="B22" s="61" t="s">
        <v>56</v>
      </c>
      <c r="C22" s="61" t="s">
        <v>56</v>
      </c>
      <c r="D22" s="61" t="s">
        <v>56</v>
      </c>
      <c r="E22" s="61" t="s">
        <v>48</v>
      </c>
      <c r="F22" s="147" t="s">
        <v>845</v>
      </c>
      <c r="G22" s="147" t="s">
        <v>1006</v>
      </c>
      <c r="H22" s="43" t="s">
        <v>1005</v>
      </c>
      <c r="I22" s="61" t="s">
        <v>969</v>
      </c>
      <c r="J22" s="286" t="s">
        <v>970</v>
      </c>
      <c r="K22" s="286" t="s">
        <v>970</v>
      </c>
      <c r="L22" s="145" t="s">
        <v>776</v>
      </c>
      <c r="M22" s="61" t="s">
        <v>679</v>
      </c>
      <c r="N22" s="61" t="s">
        <v>735</v>
      </c>
      <c r="O22" s="61" t="s">
        <v>101</v>
      </c>
      <c r="P22" s="61" t="s">
        <v>102</v>
      </c>
      <c r="Q22" s="61" t="s">
        <v>76</v>
      </c>
      <c r="R22" s="147" t="s">
        <v>829</v>
      </c>
      <c r="S22" s="61" t="s">
        <v>772</v>
      </c>
      <c r="T22" s="177" t="s">
        <v>727</v>
      </c>
      <c r="U22" s="61" t="s">
        <v>831</v>
      </c>
      <c r="V22" s="61" t="s">
        <v>776</v>
      </c>
      <c r="W22" s="61" t="s">
        <v>833</v>
      </c>
      <c r="X22" s="61" t="s">
        <v>679</v>
      </c>
      <c r="Y22" s="146"/>
      <c r="AD22" s="213"/>
      <c r="AE22" s="147" t="s">
        <v>824</v>
      </c>
      <c r="AF22" s="147" t="s">
        <v>52</v>
      </c>
      <c r="AG22" s="147" t="s">
        <v>840</v>
      </c>
      <c r="AH22" s="61"/>
      <c r="AI22" s="61"/>
      <c r="AM22" s="61"/>
      <c r="AN22" s="61"/>
      <c r="AS22" s="61"/>
      <c r="AT22" s="177"/>
      <c r="AU22" s="219" t="s">
        <v>747</v>
      </c>
      <c r="AV22" s="272" t="s">
        <v>748</v>
      </c>
      <c r="AW22" s="219" t="s">
        <v>747</v>
      </c>
    </row>
    <row r="23" spans="1:122" s="43" customFormat="1" ht="12.75">
      <c r="A23" s="147" t="s">
        <v>524</v>
      </c>
      <c r="B23" s="61" t="s">
        <v>56</v>
      </c>
      <c r="C23" s="61" t="s">
        <v>56</v>
      </c>
      <c r="D23" s="61" t="s">
        <v>56</v>
      </c>
      <c r="E23" s="61" t="s">
        <v>48</v>
      </c>
      <c r="F23" s="147" t="s">
        <v>846</v>
      </c>
      <c r="G23" s="147" t="s">
        <v>729</v>
      </c>
      <c r="H23" s="43" t="s">
        <v>1005</v>
      </c>
      <c r="I23" s="61" t="s">
        <v>969</v>
      </c>
      <c r="J23" s="286" t="s">
        <v>970</v>
      </c>
      <c r="K23" s="286" t="s">
        <v>970</v>
      </c>
      <c r="L23" s="145" t="s">
        <v>776</v>
      </c>
      <c r="M23" s="61" t="s">
        <v>679</v>
      </c>
      <c r="N23" s="61" t="s">
        <v>735</v>
      </c>
      <c r="O23" s="61" t="s">
        <v>101</v>
      </c>
      <c r="P23" s="61" t="s">
        <v>102</v>
      </c>
      <c r="Q23" s="61" t="s">
        <v>76</v>
      </c>
      <c r="R23" s="147" t="s">
        <v>732</v>
      </c>
      <c r="S23" s="61" t="s">
        <v>772</v>
      </c>
      <c r="T23" s="177" t="s">
        <v>727</v>
      </c>
      <c r="U23" s="61" t="s">
        <v>729</v>
      </c>
      <c r="V23" s="61" t="s">
        <v>776</v>
      </c>
      <c r="W23" s="61" t="s">
        <v>834</v>
      </c>
      <c r="X23" s="61" t="s">
        <v>679</v>
      </c>
      <c r="Y23" s="146"/>
      <c r="AD23" s="210"/>
      <c r="AE23" s="147" t="s">
        <v>825</v>
      </c>
      <c r="AF23" s="147" t="s">
        <v>52</v>
      </c>
      <c r="AG23" s="147" t="s">
        <v>841</v>
      </c>
      <c r="AH23" s="61"/>
      <c r="AI23" s="61"/>
      <c r="AM23" s="61"/>
      <c r="AN23" s="61"/>
      <c r="AS23" s="61"/>
      <c r="AT23" s="177"/>
      <c r="AU23" s="219" t="s">
        <v>747</v>
      </c>
      <c r="AV23" s="273"/>
      <c r="AW23" s="219" t="s">
        <v>747</v>
      </c>
    </row>
    <row r="24" spans="1:122" s="43" customFormat="1" ht="12.75">
      <c r="A24" s="147" t="s">
        <v>524</v>
      </c>
      <c r="B24" s="61" t="s">
        <v>56</v>
      </c>
      <c r="C24" s="61" t="s">
        <v>56</v>
      </c>
      <c r="D24" s="61" t="s">
        <v>56</v>
      </c>
      <c r="E24" s="61" t="s">
        <v>777</v>
      </c>
      <c r="F24" s="147" t="s">
        <v>847</v>
      </c>
      <c r="G24" s="147" t="s">
        <v>801</v>
      </c>
      <c r="H24" s="313" t="s">
        <v>969</v>
      </c>
      <c r="I24" s="61" t="s">
        <v>969</v>
      </c>
      <c r="J24" s="286" t="s">
        <v>970</v>
      </c>
      <c r="K24" s="286" t="s">
        <v>970</v>
      </c>
      <c r="L24" s="145" t="s">
        <v>776</v>
      </c>
      <c r="M24" s="61" t="s">
        <v>679</v>
      </c>
      <c r="N24" s="61" t="s">
        <v>735</v>
      </c>
      <c r="O24" s="61" t="s">
        <v>101</v>
      </c>
      <c r="P24" s="61" t="s">
        <v>102</v>
      </c>
      <c r="Q24" s="61" t="s">
        <v>76</v>
      </c>
      <c r="R24" s="147" t="s">
        <v>526</v>
      </c>
      <c r="S24" s="61" t="s">
        <v>772</v>
      </c>
      <c r="T24" s="177" t="s">
        <v>727</v>
      </c>
      <c r="U24" s="61" t="s">
        <v>801</v>
      </c>
      <c r="V24" s="61" t="s">
        <v>776</v>
      </c>
      <c r="W24" s="61" t="s">
        <v>835</v>
      </c>
      <c r="X24" s="61" t="s">
        <v>679</v>
      </c>
      <c r="Y24" s="146"/>
      <c r="Z24" s="61" t="s">
        <v>844</v>
      </c>
      <c r="AA24" s="147" t="s">
        <v>55</v>
      </c>
      <c r="AB24" s="145" t="s">
        <v>849</v>
      </c>
      <c r="AC24" s="61" t="s">
        <v>790</v>
      </c>
      <c r="AD24" s="213" t="s">
        <v>736</v>
      </c>
      <c r="AE24" s="147" t="s">
        <v>826</v>
      </c>
      <c r="AF24" s="147" t="s">
        <v>52</v>
      </c>
      <c r="AG24" s="147" t="s">
        <v>842</v>
      </c>
      <c r="AH24" s="61"/>
      <c r="AI24" s="61"/>
      <c r="AM24" s="61"/>
      <c r="AN24" s="61"/>
      <c r="AO24" s="61"/>
      <c r="AP24" s="61"/>
      <c r="AQ24" s="61"/>
      <c r="AR24" s="61"/>
      <c r="AS24" s="61"/>
      <c r="AT24" s="177"/>
      <c r="AU24" s="219" t="s">
        <v>791</v>
      </c>
      <c r="AV24" s="273"/>
      <c r="AW24" s="219" t="s">
        <v>791</v>
      </c>
    </row>
    <row r="25" spans="1:122" s="241" customFormat="1" ht="12.75">
      <c r="A25" s="147" t="s">
        <v>524</v>
      </c>
      <c r="B25" s="61" t="s">
        <v>56</v>
      </c>
      <c r="C25" s="61" t="s">
        <v>56</v>
      </c>
      <c r="D25" s="61" t="s">
        <v>56</v>
      </c>
      <c r="E25" s="61" t="s">
        <v>48</v>
      </c>
      <c r="F25" s="147" t="s">
        <v>848</v>
      </c>
      <c r="G25" s="61" t="s">
        <v>730</v>
      </c>
      <c r="H25" s="43" t="s">
        <v>1005</v>
      </c>
      <c r="I25" s="61" t="s">
        <v>969</v>
      </c>
      <c r="J25" s="286" t="s">
        <v>970</v>
      </c>
      <c r="K25" s="286" t="s">
        <v>970</v>
      </c>
      <c r="L25" s="145" t="s">
        <v>776</v>
      </c>
      <c r="M25" s="61" t="s">
        <v>679</v>
      </c>
      <c r="N25" s="61" t="s">
        <v>735</v>
      </c>
      <c r="O25" s="61" t="s">
        <v>101</v>
      </c>
      <c r="P25" s="61" t="s">
        <v>102</v>
      </c>
      <c r="Q25" s="61" t="s">
        <v>76</v>
      </c>
      <c r="R25" s="147" t="s">
        <v>806</v>
      </c>
      <c r="S25" s="61" t="s">
        <v>772</v>
      </c>
      <c r="T25" s="177" t="s">
        <v>727</v>
      </c>
      <c r="U25" s="61" t="s">
        <v>730</v>
      </c>
      <c r="V25" s="61" t="s">
        <v>776</v>
      </c>
      <c r="W25" s="61" t="s">
        <v>836</v>
      </c>
      <c r="X25" s="61" t="s">
        <v>679</v>
      </c>
      <c r="Y25" s="146"/>
      <c r="Z25" s="61"/>
      <c r="AA25" s="147"/>
      <c r="AB25" s="145"/>
      <c r="AC25" s="61"/>
      <c r="AD25" s="213"/>
      <c r="AE25" s="61" t="s">
        <v>827</v>
      </c>
      <c r="AF25" s="61" t="s">
        <v>52</v>
      </c>
      <c r="AG25" s="61" t="s">
        <v>843</v>
      </c>
      <c r="AH25" s="61"/>
      <c r="AI25" s="61"/>
      <c r="AM25" s="61"/>
      <c r="AN25" s="61"/>
      <c r="AO25" s="61"/>
      <c r="AP25" s="61"/>
      <c r="AQ25" s="61"/>
      <c r="AR25" s="61"/>
      <c r="AS25" s="61"/>
      <c r="AT25" s="177"/>
      <c r="AU25" s="219"/>
      <c r="AV25" s="253"/>
      <c r="AW25" s="219"/>
      <c r="AX25" s="43"/>
      <c r="AY25" s="43"/>
      <c r="AZ25" s="43"/>
      <c r="BA25" s="43"/>
      <c r="BB25" s="43"/>
      <c r="BC25" s="43"/>
      <c r="BD25" s="43"/>
      <c r="BE25" s="43"/>
    </row>
    <row r="26" spans="1:122">
      <c r="A26" s="187" t="s">
        <v>792</v>
      </c>
      <c r="B26" s="266"/>
      <c r="C26" s="143"/>
      <c r="D26" s="143"/>
      <c r="E26" s="143"/>
      <c r="F26" s="143"/>
      <c r="G26" s="278"/>
      <c r="H26" s="278"/>
      <c r="I26" s="278"/>
      <c r="J26" s="278"/>
      <c r="K26" s="278"/>
      <c r="L26" s="37"/>
      <c r="M26" s="37"/>
      <c r="N26" s="37"/>
      <c r="O26" s="37"/>
      <c r="P26" s="37"/>
      <c r="Q26" s="37"/>
      <c r="R26" s="37"/>
      <c r="S26" s="37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256"/>
    </row>
    <row r="27" spans="1:122" s="43" customFormat="1" ht="12.75">
      <c r="A27" s="147" t="s">
        <v>749</v>
      </c>
      <c r="B27" s="61" t="s">
        <v>56</v>
      </c>
      <c r="C27" s="61" t="s">
        <v>56</v>
      </c>
      <c r="D27" s="61" t="s">
        <v>56</v>
      </c>
      <c r="E27" s="61" t="s">
        <v>48</v>
      </c>
      <c r="F27" s="61" t="s">
        <v>793</v>
      </c>
      <c r="G27" s="292" t="s">
        <v>998</v>
      </c>
      <c r="H27" s="292" t="s">
        <v>969</v>
      </c>
      <c r="I27" s="61" t="s">
        <v>969</v>
      </c>
      <c r="J27" s="286" t="s">
        <v>970</v>
      </c>
      <c r="K27" s="286" t="s">
        <v>970</v>
      </c>
      <c r="L27" s="61" t="s">
        <v>53</v>
      </c>
      <c r="M27" s="61" t="s">
        <v>786</v>
      </c>
      <c r="N27" s="61" t="s">
        <v>751</v>
      </c>
      <c r="O27" s="61" t="s">
        <v>101</v>
      </c>
      <c r="P27" s="61" t="s">
        <v>104</v>
      </c>
      <c r="Q27" s="61" t="s">
        <v>76</v>
      </c>
      <c r="R27" s="61" t="s">
        <v>743</v>
      </c>
      <c r="S27" s="61" t="s">
        <v>12</v>
      </c>
      <c r="T27" s="61" t="s">
        <v>727</v>
      </c>
      <c r="U27" s="61" t="str">
        <f>LOWER(F27)</f>
        <v>jtag_dft_mode</v>
      </c>
      <c r="V27" s="61" t="s">
        <v>53</v>
      </c>
      <c r="W27" s="61" t="s">
        <v>744</v>
      </c>
      <c r="X27" s="61" t="s">
        <v>786</v>
      </c>
      <c r="Y27" s="146" t="s">
        <v>794</v>
      </c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1"/>
      <c r="AS27" s="61"/>
      <c r="AT27" s="147"/>
      <c r="DP27" s="249" t="s">
        <v>734</v>
      </c>
      <c r="DR27" s="249" t="s">
        <v>731</v>
      </c>
    </row>
    <row r="28" spans="1:122" s="254" customFormat="1" ht="15">
      <c r="A28" s="339" t="s">
        <v>997</v>
      </c>
      <c r="B28" s="340"/>
      <c r="C28" s="341"/>
      <c r="D28" s="340"/>
      <c r="E28" s="340"/>
      <c r="F28" s="340"/>
      <c r="G28" s="340"/>
      <c r="H28" s="340"/>
      <c r="I28" s="340"/>
      <c r="J28" s="340"/>
      <c r="K28" s="340"/>
      <c r="L28" s="341"/>
      <c r="M28" s="342"/>
      <c r="N28" s="35"/>
      <c r="O28" s="258"/>
      <c r="P28" s="14"/>
      <c r="Q28" s="37"/>
      <c r="R28" s="37"/>
      <c r="S28" s="36"/>
      <c r="T28" s="36"/>
      <c r="U28" s="36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259"/>
    </row>
    <row r="29" spans="1:122" s="260" customFormat="1" ht="12.75">
      <c r="A29" s="260" t="s">
        <v>807</v>
      </c>
      <c r="B29" s="260" t="s">
        <v>769</v>
      </c>
      <c r="C29" s="260" t="s">
        <v>769</v>
      </c>
      <c r="D29" s="260" t="s">
        <v>769</v>
      </c>
      <c r="E29" s="260" t="s">
        <v>808</v>
      </c>
      <c r="F29" s="260" t="s">
        <v>809</v>
      </c>
      <c r="G29" s="293" t="s">
        <v>998</v>
      </c>
      <c r="H29" s="294" t="s">
        <v>969</v>
      </c>
      <c r="I29" s="294" t="s">
        <v>969</v>
      </c>
      <c r="J29" s="294" t="s">
        <v>969</v>
      </c>
      <c r="K29" s="294" t="s">
        <v>969</v>
      </c>
      <c r="L29" s="260" t="s">
        <v>99</v>
      </c>
      <c r="M29" s="260" t="s">
        <v>796</v>
      </c>
      <c r="N29" s="260" t="s">
        <v>797</v>
      </c>
      <c r="O29" s="260" t="s">
        <v>810</v>
      </c>
      <c r="Q29" s="260" t="s">
        <v>12</v>
      </c>
      <c r="R29" s="260" t="s">
        <v>798</v>
      </c>
      <c r="T29" s="260" t="s">
        <v>811</v>
      </c>
      <c r="U29" s="260" t="str">
        <f t="shared" ref="U29:U33" si="1">LOWER(F29)</f>
        <v>usb20_vbus</v>
      </c>
      <c r="V29" s="260" t="s">
        <v>99</v>
      </c>
      <c r="W29" s="260" t="s">
        <v>744</v>
      </c>
      <c r="X29" s="260" t="s">
        <v>796</v>
      </c>
      <c r="Y29" s="260" t="s">
        <v>812</v>
      </c>
      <c r="CA29" s="260">
        <v>1</v>
      </c>
    </row>
    <row r="30" spans="1:122" s="260" customFormat="1" ht="12.75">
      <c r="A30" s="260" t="s">
        <v>173</v>
      </c>
      <c r="B30" s="260" t="s">
        <v>769</v>
      </c>
      <c r="C30" s="260" t="s">
        <v>769</v>
      </c>
      <c r="D30" s="260" t="s">
        <v>769</v>
      </c>
      <c r="E30" s="260" t="s">
        <v>808</v>
      </c>
      <c r="F30" s="260" t="s">
        <v>813</v>
      </c>
      <c r="G30" s="293" t="s">
        <v>998</v>
      </c>
      <c r="H30" s="294" t="s">
        <v>969</v>
      </c>
      <c r="I30" s="294" t="s">
        <v>969</v>
      </c>
      <c r="J30" s="294" t="s">
        <v>969</v>
      </c>
      <c r="K30" s="294" t="s">
        <v>969</v>
      </c>
      <c r="L30" s="260" t="s">
        <v>98</v>
      </c>
      <c r="M30" s="260" t="s">
        <v>796</v>
      </c>
      <c r="N30" s="260" t="s">
        <v>797</v>
      </c>
      <c r="O30" s="260" t="s">
        <v>810</v>
      </c>
      <c r="Q30" s="260" t="s">
        <v>12</v>
      </c>
      <c r="R30" s="260" t="s">
        <v>798</v>
      </c>
      <c r="T30" s="260" t="s">
        <v>811</v>
      </c>
      <c r="U30" s="260" t="str">
        <f t="shared" si="1"/>
        <v>usb20_id</v>
      </c>
      <c r="V30" s="260" t="s">
        <v>98</v>
      </c>
      <c r="W30" s="260" t="s">
        <v>744</v>
      </c>
      <c r="X30" s="260" t="s">
        <v>796</v>
      </c>
      <c r="Y30" s="260" t="s">
        <v>814</v>
      </c>
      <c r="CA30" s="260">
        <v>1</v>
      </c>
    </row>
    <row r="31" spans="1:122" s="260" customFormat="1" ht="12.75">
      <c r="A31" s="260" t="s">
        <v>815</v>
      </c>
      <c r="B31" s="260" t="s">
        <v>769</v>
      </c>
      <c r="C31" s="260" t="s">
        <v>769</v>
      </c>
      <c r="D31" s="260" t="s">
        <v>769</v>
      </c>
      <c r="E31" s="260" t="s">
        <v>808</v>
      </c>
      <c r="F31" s="260" t="s">
        <v>816</v>
      </c>
      <c r="G31" s="293" t="s">
        <v>998</v>
      </c>
      <c r="H31" s="294" t="s">
        <v>969</v>
      </c>
      <c r="I31" s="294" t="s">
        <v>969</v>
      </c>
      <c r="J31" s="294" t="s">
        <v>969</v>
      </c>
      <c r="K31" s="294" t="s">
        <v>969</v>
      </c>
      <c r="L31" s="260" t="s">
        <v>99</v>
      </c>
      <c r="M31" s="260" t="s">
        <v>796</v>
      </c>
      <c r="N31" s="260" t="s">
        <v>797</v>
      </c>
      <c r="O31" s="260" t="s">
        <v>810</v>
      </c>
      <c r="Q31" s="260" t="s">
        <v>12</v>
      </c>
      <c r="R31" s="260" t="s">
        <v>798</v>
      </c>
      <c r="T31" s="260" t="s">
        <v>811</v>
      </c>
      <c r="U31" s="260" t="str">
        <f t="shared" si="1"/>
        <v>usb20_dp</v>
      </c>
      <c r="V31" s="260" t="s">
        <v>99</v>
      </c>
      <c r="W31" s="260" t="s">
        <v>744</v>
      </c>
      <c r="X31" s="260" t="s">
        <v>796</v>
      </c>
      <c r="Y31" s="260" t="s">
        <v>817</v>
      </c>
      <c r="CA31" s="260">
        <v>1</v>
      </c>
    </row>
    <row r="32" spans="1:122" s="260" customFormat="1" ht="12.75">
      <c r="A32" s="260" t="s">
        <v>815</v>
      </c>
      <c r="B32" s="260" t="s">
        <v>769</v>
      </c>
      <c r="C32" s="260" t="s">
        <v>769</v>
      </c>
      <c r="D32" s="260" t="s">
        <v>769</v>
      </c>
      <c r="E32" s="260" t="s">
        <v>808</v>
      </c>
      <c r="F32" s="260" t="s">
        <v>818</v>
      </c>
      <c r="G32" s="293" t="s">
        <v>998</v>
      </c>
      <c r="H32" s="294" t="s">
        <v>969</v>
      </c>
      <c r="I32" s="294" t="s">
        <v>969</v>
      </c>
      <c r="J32" s="294" t="s">
        <v>969</v>
      </c>
      <c r="K32" s="294" t="s">
        <v>969</v>
      </c>
      <c r="L32" s="260" t="s">
        <v>99</v>
      </c>
      <c r="M32" s="260" t="s">
        <v>796</v>
      </c>
      <c r="N32" s="260" t="s">
        <v>797</v>
      </c>
      <c r="O32" s="260" t="s">
        <v>810</v>
      </c>
      <c r="Q32" s="260" t="s">
        <v>12</v>
      </c>
      <c r="R32" s="260" t="s">
        <v>798</v>
      </c>
      <c r="T32" s="260" t="s">
        <v>811</v>
      </c>
      <c r="U32" s="260" t="str">
        <f t="shared" si="1"/>
        <v>usb20_dm</v>
      </c>
      <c r="V32" s="260" t="s">
        <v>99</v>
      </c>
      <c r="W32" s="260" t="s">
        <v>744</v>
      </c>
      <c r="X32" s="260" t="s">
        <v>796</v>
      </c>
      <c r="Y32" s="260" t="s">
        <v>819</v>
      </c>
      <c r="CA32" s="260">
        <v>1</v>
      </c>
    </row>
    <row r="33" spans="1:79" s="260" customFormat="1" ht="12.75">
      <c r="A33" s="260" t="s">
        <v>173</v>
      </c>
      <c r="B33" s="260" t="s">
        <v>769</v>
      </c>
      <c r="C33" s="260" t="s">
        <v>769</v>
      </c>
      <c r="D33" s="260" t="s">
        <v>769</v>
      </c>
      <c r="E33" s="260" t="s">
        <v>808</v>
      </c>
      <c r="F33" s="260" t="s">
        <v>820</v>
      </c>
      <c r="G33" s="293" t="s">
        <v>998</v>
      </c>
      <c r="H33" s="294" t="s">
        <v>969</v>
      </c>
      <c r="I33" s="294" t="s">
        <v>969</v>
      </c>
      <c r="J33" s="294" t="s">
        <v>969</v>
      </c>
      <c r="K33" s="294" t="s">
        <v>969</v>
      </c>
      <c r="L33" s="260" t="s">
        <v>98</v>
      </c>
      <c r="M33" s="260" t="s">
        <v>796</v>
      </c>
      <c r="N33" s="260" t="s">
        <v>797</v>
      </c>
      <c r="O33" s="260" t="s">
        <v>810</v>
      </c>
      <c r="Q33" s="260" t="s">
        <v>12</v>
      </c>
      <c r="R33" s="260" t="s">
        <v>798</v>
      </c>
      <c r="T33" s="260" t="s">
        <v>811</v>
      </c>
      <c r="U33" s="260" t="str">
        <f t="shared" si="1"/>
        <v>usb20_txrtune</v>
      </c>
      <c r="V33" s="260" t="s">
        <v>98</v>
      </c>
      <c r="W33" s="260" t="s">
        <v>744</v>
      </c>
      <c r="X33" s="260" t="s">
        <v>796</v>
      </c>
      <c r="Y33" s="260" t="s">
        <v>821</v>
      </c>
      <c r="CA33" s="260">
        <v>1</v>
      </c>
    </row>
    <row r="37" spans="1:79">
      <c r="C37" s="234"/>
      <c r="D37" s="234"/>
      <c r="AT37" s="257"/>
    </row>
    <row r="38" spans="1:79">
      <c r="B38" s="269" t="s">
        <v>857</v>
      </c>
      <c r="C38" s="234" t="s">
        <v>737</v>
      </c>
      <c r="D38" s="269" t="s">
        <v>858</v>
      </c>
      <c r="AT38" s="257"/>
    </row>
    <row r="39" spans="1:79">
      <c r="A39" s="236" t="s">
        <v>738</v>
      </c>
      <c r="B39" s="250">
        <f>COUNTIF(B1:B37,"Y")</f>
        <v>25</v>
      </c>
      <c r="C39" s="250">
        <f>COUNTIF(C1:C37,"Y")</f>
        <v>25</v>
      </c>
      <c r="D39" s="250">
        <f>COUNTIF(D1:D37,"Y")</f>
        <v>25</v>
      </c>
      <c r="E39" s="250">
        <f>COUNTIF(E1:E37,"MUX_C")+COUNTIF(E1:E37,"MUX_D")</f>
        <v>17</v>
      </c>
      <c r="M39" s="234"/>
      <c r="R39" s="233"/>
      <c r="T39" s="235"/>
      <c r="Y39" s="235"/>
      <c r="AC39" s="251"/>
      <c r="AD39" s="251"/>
      <c r="AE39" s="251"/>
      <c r="AF39" s="251"/>
      <c r="AG39" s="251"/>
      <c r="AH39" s="252"/>
      <c r="AI39" s="252"/>
      <c r="AJ39" s="252"/>
      <c r="AK39" s="252"/>
      <c r="AL39" s="252"/>
      <c r="AM39" s="257"/>
      <c r="AN39" s="235"/>
      <c r="AO39" s="235"/>
      <c r="AP39" s="235"/>
      <c r="AQ39" s="235"/>
      <c r="AR39" s="235"/>
      <c r="AS39" s="235"/>
    </row>
    <row r="40" spans="1:79">
      <c r="A40" s="269" t="s">
        <v>859</v>
      </c>
      <c r="B40" s="271">
        <f>COUNTIF(N1:N35,"HISI4D")</f>
        <v>20</v>
      </c>
      <c r="C40" s="271">
        <f>COUNTIF(N1:N35,"HISI4D")</f>
        <v>20</v>
      </c>
      <c r="M40" s="234"/>
      <c r="R40" s="233"/>
      <c r="T40" s="235"/>
      <c r="Y40" s="235"/>
      <c r="AC40" s="251"/>
      <c r="AD40" s="251"/>
      <c r="AE40" s="251"/>
      <c r="AF40" s="251"/>
      <c r="AG40" s="251"/>
      <c r="AH40" s="252"/>
      <c r="AI40" s="252"/>
      <c r="AJ40" s="252"/>
      <c r="AK40" s="252"/>
      <c r="AL40" s="252"/>
      <c r="AM40" s="257"/>
      <c r="AN40" s="235"/>
      <c r="AO40" s="235"/>
      <c r="AP40" s="235"/>
      <c r="AQ40" s="235"/>
      <c r="AR40" s="235"/>
      <c r="AS40" s="235"/>
    </row>
    <row r="41" spans="1:79">
      <c r="A41" s="269" t="s">
        <v>860</v>
      </c>
      <c r="B41" s="270">
        <f>B39-B40</f>
        <v>5</v>
      </c>
      <c r="C41" s="270">
        <f>C39-C40</f>
        <v>5</v>
      </c>
      <c r="M41" s="234"/>
      <c r="R41" s="233"/>
      <c r="T41" s="235"/>
      <c r="Y41" s="235"/>
      <c r="AC41" s="251"/>
      <c r="AD41" s="251"/>
      <c r="AE41" s="251"/>
      <c r="AF41" s="251"/>
      <c r="AG41" s="251"/>
      <c r="AH41" s="252"/>
      <c r="AI41" s="252"/>
      <c r="AJ41" s="252"/>
      <c r="AK41" s="252"/>
      <c r="AL41" s="252"/>
      <c r="AM41" s="257"/>
      <c r="AN41" s="235"/>
      <c r="AO41" s="235"/>
      <c r="AP41" s="235"/>
      <c r="AQ41" s="235"/>
      <c r="AR41" s="235"/>
      <c r="AS41" s="235"/>
    </row>
    <row r="42" spans="1:79">
      <c r="M42" s="234"/>
      <c r="R42" s="233"/>
      <c r="T42" s="235"/>
      <c r="Y42" s="235"/>
      <c r="AC42" s="251"/>
      <c r="AD42" s="251"/>
      <c r="AE42" s="251"/>
      <c r="AF42" s="251"/>
      <c r="AG42" s="251"/>
      <c r="AH42" s="252"/>
      <c r="AI42" s="252"/>
      <c r="AJ42" s="252"/>
      <c r="AK42" s="252"/>
      <c r="AL42" s="252"/>
      <c r="AM42" s="257"/>
      <c r="AN42" s="235"/>
      <c r="AO42" s="235"/>
      <c r="AP42" s="235"/>
      <c r="AQ42" s="235"/>
      <c r="AR42" s="235"/>
      <c r="AS42" s="235"/>
    </row>
    <row r="43" spans="1:79">
      <c r="AT43" s="257"/>
    </row>
    <row r="44" spans="1:79">
      <c r="AT44" s="257"/>
    </row>
    <row r="45" spans="1:79">
      <c r="AT45" s="257"/>
    </row>
    <row r="46" spans="1:79">
      <c r="AT46" s="257"/>
    </row>
    <row r="57" collapsed="1"/>
    <row r="112" ht="19.5" customHeight="1"/>
    <row r="113" ht="19.5" customHeight="1"/>
    <row r="114" ht="19.5" customHeight="1"/>
    <row r="115" ht="19.5" customHeight="1"/>
    <row r="116" ht="19.5" customHeight="1"/>
    <row r="117" ht="19.5" customHeight="1"/>
    <row r="118" ht="19.5" customHeight="1"/>
    <row r="119" ht="19.5" customHeight="1"/>
    <row r="120" ht="19.5" customHeight="1"/>
    <row r="121" ht="19.5" customHeight="1"/>
    <row r="122" ht="19.5" customHeight="1"/>
    <row r="123" ht="19.5" customHeight="1"/>
    <row r="124" ht="19.5" customHeight="1"/>
  </sheetData>
  <mergeCells count="19">
    <mergeCell ref="A18:F18"/>
    <mergeCell ref="A28:M28"/>
    <mergeCell ref="A1:A2"/>
    <mergeCell ref="N1:N2"/>
    <mergeCell ref="M1:M2"/>
    <mergeCell ref="L1:L2"/>
    <mergeCell ref="C1:C2"/>
    <mergeCell ref="B1:B2"/>
    <mergeCell ref="G2:K2"/>
    <mergeCell ref="P1:P2"/>
    <mergeCell ref="O1:O2"/>
    <mergeCell ref="E1:E2"/>
    <mergeCell ref="F1:F2"/>
    <mergeCell ref="D1:D2"/>
    <mergeCell ref="Q1:Q2"/>
    <mergeCell ref="S1:S2"/>
    <mergeCell ref="R1:R2"/>
    <mergeCell ref="T1:T2"/>
    <mergeCell ref="AT1:AT2"/>
  </mergeCells>
  <phoneticPr fontId="3" type="noConversion"/>
  <dataValidations count="31">
    <dataValidation type="list" allowBlank="1" showDropDown="1" showInputMessage="1" showErrorMessage="1" sqref="G29:G33">
      <formula1>_a21</formula1>
    </dataValidation>
    <dataValidation type="list" allowBlank="1" showDropDown="1" showInputMessage="1" showErrorMessage="1" sqref="G27">
      <formula1>_a20</formula1>
    </dataValidation>
    <dataValidation type="list" allowBlank="1" showInputMessage="1" showErrorMessage="1" sqref="G25">
      <formula1>_a19</formula1>
    </dataValidation>
    <dataValidation type="list" allowBlank="1" showInputMessage="1" showErrorMessage="1" sqref="G22">
      <formula1>_a16</formula1>
    </dataValidation>
    <dataValidation type="list" allowBlank="1" showInputMessage="1" showErrorMessage="1" sqref="G23">
      <formula1>_a17</formula1>
    </dataValidation>
    <dataValidation type="list" allowBlank="1" showInputMessage="1" showErrorMessage="1" sqref="G24">
      <formula1>_a18</formula1>
    </dataValidation>
    <dataValidation type="list" allowBlank="1" showInputMessage="1" showErrorMessage="1" sqref="G20">
      <formula1>_a15</formula1>
    </dataValidation>
    <dataValidation type="list" allowBlank="1" showInputMessage="1" showErrorMessage="1" sqref="G19">
      <formula1>_a14</formula1>
    </dataValidation>
    <dataValidation type="list" allowBlank="1" showInputMessage="1" showErrorMessage="1" sqref="G17">
      <formula1>_a13</formula1>
    </dataValidation>
    <dataValidation type="list" allowBlank="1" showInputMessage="1" showErrorMessage="1" sqref="G15">
      <formula1>_a11</formula1>
    </dataValidation>
    <dataValidation type="list" allowBlank="1" showInputMessage="1" showErrorMessage="1" sqref="G16">
      <formula1>_a12</formula1>
    </dataValidation>
    <dataValidation type="list" allowBlank="1" showInputMessage="1" showErrorMessage="1" sqref="G13">
      <formula1>_a10</formula1>
    </dataValidation>
    <dataValidation type="list" allowBlank="1" showDropDown="1" showInputMessage="1" showErrorMessage="1" sqref="G4:G12">
      <formula1>_a1</formula1>
    </dataValidation>
    <dataValidation type="list" allowBlank="1" showInputMessage="1" showErrorMessage="1" sqref="V51:V1048576 AF27 L27 AK27 BW27 AX27 CL27 CV27 CQ27 DA27 DF27 DK27 CG27 BR27 BM27 BH27 CB27 AP27 BC27 V29:V33 L29:L33 AA27 V27 AF15:AF17 AF19:AF20 L22:L25 AA19:AA20 V19:V20 L19:L20 AA24:AA25 AP15:AP17 AK15:AK17 V16:V17 AA43:AA1048576 L15:L17 AA15:AA17 V22:V25 AF4:AF7 L4:L13 V4:V13 AF22:AF25 AI39:AI42 AP43:AP1048576 AD39:AD42 AK43:AK1048576 O39:O42 V43:V48 Y39:Y42 AF43:AF1048576 T39:T42 AA4:AA13">
      <formula1>"AI,AO,AIO,SI,DI,DO,OD,OZ,B,BOD"</formula1>
    </dataValidation>
    <dataValidation showDropDown="1" showInputMessage="1" showErrorMessage="1" sqref="AB43:AB1048576 AG27 AL27 CR27 AQ27 CM27 W29:W33 AB27 W27 AG22:AG25 AG17 AB15:AB17 W15:W17 W22:W25 AB8:AB9 W4:W13 AG4:AG7 AG19:AG20 P39:P42 W43:W48 W51:W1048576 U39:U42"/>
    <dataValidation type="list" allowBlank="1" showInputMessage="1" showErrorMessage="1" sqref="E44:E1048576 E27 E29:E33 E22:E25 E19:E20 E15:E17 E4:E13">
      <formula1>"MUX_NA,MUX_D,MUX_C"</formula1>
    </dataValidation>
    <dataValidation type="list" allowBlank="1" showInputMessage="1" showErrorMessage="1" sqref="Q47:Q1048576 Q19:Q27 Q3:Q17">
      <formula1>"PU,PD,IX,OZ,OH,OL,NA"</formula1>
    </dataValidation>
    <dataValidation type="list" allowBlank="1" showInputMessage="1" showErrorMessage="1" sqref="P47:P1048576 P28 Q18">
      <formula1>"0mA,2mA,3mA,4mA,6mA,8mA,9mA,10mA,12mA,15mA,18mA"</formula1>
    </dataValidation>
    <dataValidation type="list" allowBlank="1" showInputMessage="1" showErrorMessage="1" sqref="C43:D1048576 B27:D27 C28:K28 B29:D33 L18 B22:D25 B19:D20 B15:D17 B4:D13 D40">
      <formula1>"Y,N"</formula1>
    </dataValidation>
    <dataValidation type="list" allowBlank="1" showInputMessage="1" showErrorMessage="1" sqref="S27 Q28:R28 P29:Q33 S19:S20 R18:S18 S15:S17 S22:S25 S4:S13">
      <formula1>"pull-up,pull-down,pull-up control,pull-down control,pull-up/down control,NA"</formula1>
    </dataValidation>
    <dataValidation type="list" allowBlank="1" showInputMessage="1" showErrorMessage="1" sqref="P27 P19:P20 P15:P17 P22:P25 P4:P13">
      <formula1>"0mA,4mA,8mA,12mA,16mA"</formula1>
    </dataValidation>
    <dataValidation type="list" allowBlank="1" showInputMessage="1" showErrorMessage="1" sqref="CS27 AH27 AR27 AM27 AR10 AM10">
      <formula1>"output-normal,output-clk,output-od,output-3state,input-normal,input-clk,Bi-normal,Bi-clk,input-shmit,input-shclk,Bi-shmit,Bi-shclk"</formula1>
    </dataValidation>
    <dataValidation type="list" allowBlank="1" showInputMessage="1" showErrorMessage="1" sqref="O27:O33 O19:O20 O15:O17 O4:O13">
      <formula1>"Analog,Analog Power,Analog gnd,Digital power,Digital gnd,LVCMOS,LVTTL,SSTL2,USB2,LVDS,CML,ECL"</formula1>
    </dataValidation>
    <dataValidation type="list" allowBlank="1" showInputMessage="1" showErrorMessage="1" sqref="AA29:AA33 AL28 AM29:AM33 AH28 AI29:AI33 Z28 AI18 AA18 AN18 AS18 AS11:AS12 W18 AI11:AI12 AN11:AN12 AM4:AM5 AC7 AC4:AD5 Z4 AR4:AR5">
      <formula1>"output,input,Bi,output-3state"</formula1>
    </dataValidation>
    <dataValidation type="list" allowBlank="1" showInputMessage="1" showErrorMessage="1" sqref="S28 T18">
      <formula1>"H,L,Z,?"</formula1>
    </dataValidation>
    <dataValidation type="list" allowBlank="1" showInputMessage="1" showErrorMessage="1" sqref="V15">
      <formula1>"AI,AO,AIO,SI,DI,DO,OD,OT,B,BOD"</formula1>
    </dataValidation>
    <dataValidation type="list" allowBlank="1" showInputMessage="1" showErrorMessage="1" sqref="J4:K13 J15:K17 J19:K20 J27:K27 J22:K25">
      <formula1>"Yes,No"</formula1>
    </dataValidation>
    <dataValidation type="list" allowBlank="1" showInputMessage="1" showErrorMessage="1" sqref="H6:H13 H15:H17 H19:H20 H22:H25">
      <formula1>"default,pull-up,pull-down,no-pull"</formula1>
    </dataValidation>
    <dataValidation type="list" allowBlank="1" showInputMessage="1" showErrorMessage="1" sqref="I4:I13 I15:I17 I19:I20 I22:I25 I27">
      <formula1>"default,0mA,4mA,8mA,12mA,16mA"</formula1>
    </dataValidation>
    <dataValidation type="list" allowBlank="1" showDropDown="1" showInputMessage="1" showErrorMessage="1" sqref="H4:H5 H27 H29:H33">
      <formula1>"default,pull-up,pull-down,no-pull"</formula1>
    </dataValidation>
    <dataValidation type="list" allowBlank="1" showDropDown="1" showInputMessage="1" showErrorMessage="1" sqref="I29:K33">
      <formula1>"default,0mA,4mA,8mA,12mA,16mA"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landscape" horizontalDpi="1200" verticalDpi="1200" r:id="rId1"/>
  <headerFooter alignWithMargins="0">
    <oddHeader>&amp;LHi6910 V100R001 SI&amp;PKG_REQ&amp;R机密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J30"/>
  <sheetViews>
    <sheetView workbookViewId="0">
      <selection activeCell="A11" sqref="A11:XFD13"/>
    </sheetView>
  </sheetViews>
  <sheetFormatPr defaultColWidth="9" defaultRowHeight="14.25"/>
  <cols>
    <col min="1" max="1" width="6.5" style="148" bestFit="1" customWidth="1"/>
    <col min="2" max="3" width="12.75" style="148" bestFit="1" customWidth="1"/>
    <col min="4" max="5" width="15" style="148" bestFit="1" customWidth="1"/>
    <col min="6" max="8" width="9" style="148"/>
    <col min="9" max="10" width="10.5" style="148" bestFit="1" customWidth="1"/>
    <col min="11" max="16384" width="9" style="148"/>
  </cols>
  <sheetData>
    <row r="1" spans="1:10">
      <c r="A1" s="144" t="s">
        <v>488</v>
      </c>
      <c r="B1" s="144" t="s">
        <v>491</v>
      </c>
      <c r="C1" s="144" t="s">
        <v>492</v>
      </c>
      <c r="D1" s="144" t="s">
        <v>493</v>
      </c>
      <c r="E1" s="144" t="s">
        <v>494</v>
      </c>
      <c r="F1" s="148">
        <v>1.8</v>
      </c>
    </row>
    <row r="2" spans="1:10">
      <c r="A2" s="144" t="s">
        <v>489</v>
      </c>
      <c r="B2" s="144" t="s">
        <v>495</v>
      </c>
      <c r="C2" s="144" t="s">
        <v>482</v>
      </c>
      <c r="D2" s="144" t="s">
        <v>483</v>
      </c>
      <c r="E2" s="144" t="s">
        <v>484</v>
      </c>
      <c r="F2" s="148">
        <v>1.8</v>
      </c>
    </row>
    <row r="3" spans="1:10">
      <c r="A3" s="144" t="s">
        <v>490</v>
      </c>
      <c r="B3" s="144" t="s">
        <v>496</v>
      </c>
      <c r="C3" s="144" t="s">
        <v>485</v>
      </c>
      <c r="D3" s="144" t="s">
        <v>486</v>
      </c>
      <c r="E3" s="144" t="s">
        <v>487</v>
      </c>
      <c r="F3" s="148">
        <v>1.8</v>
      </c>
    </row>
    <row r="4" spans="1:10">
      <c r="A4" s="144" t="s">
        <v>531</v>
      </c>
      <c r="B4" s="144" t="s">
        <v>533</v>
      </c>
      <c r="C4" s="144" t="s">
        <v>534</v>
      </c>
      <c r="D4" s="144" t="s">
        <v>535</v>
      </c>
      <c r="E4" s="144" t="s">
        <v>536</v>
      </c>
      <c r="F4" s="148">
        <v>1.8</v>
      </c>
    </row>
    <row r="5" spans="1:10" ht="13.5" customHeight="1">
      <c r="A5" s="144">
        <v>1</v>
      </c>
      <c r="B5" s="144" t="s">
        <v>539</v>
      </c>
      <c r="C5" s="144" t="s">
        <v>497</v>
      </c>
      <c r="D5" s="144" t="s">
        <v>498</v>
      </c>
      <c r="E5" s="144" t="s">
        <v>499</v>
      </c>
      <c r="G5" s="170" t="s">
        <v>546</v>
      </c>
      <c r="H5" s="171" t="s">
        <v>547</v>
      </c>
    </row>
    <row r="6" spans="1:10" ht="13.5" customHeight="1">
      <c r="A6" s="144">
        <v>2</v>
      </c>
      <c r="B6" s="144" t="s">
        <v>501</v>
      </c>
      <c r="C6" s="144" t="s">
        <v>500</v>
      </c>
      <c r="D6" s="144" t="s">
        <v>502</v>
      </c>
      <c r="E6" s="144" t="s">
        <v>503</v>
      </c>
      <c r="I6" s="168" t="s">
        <v>549</v>
      </c>
    </row>
    <row r="7" spans="1:10" ht="13.5" customHeight="1">
      <c r="A7" s="144">
        <v>3</v>
      </c>
      <c r="B7" s="144" t="s">
        <v>505</v>
      </c>
      <c r="C7" s="144" t="s">
        <v>504</v>
      </c>
      <c r="D7" s="144" t="s">
        <v>506</v>
      </c>
      <c r="E7" s="144" t="s">
        <v>507</v>
      </c>
      <c r="H7" s="171" t="s">
        <v>548</v>
      </c>
      <c r="I7" s="169" t="s">
        <v>551</v>
      </c>
    </row>
    <row r="8" spans="1:10" ht="13.5" customHeight="1">
      <c r="A8" s="144">
        <v>4</v>
      </c>
      <c r="B8" s="144" t="s">
        <v>508</v>
      </c>
      <c r="C8" s="144" t="s">
        <v>509</v>
      </c>
      <c r="D8" s="144" t="s">
        <v>510</v>
      </c>
      <c r="E8" s="144" t="s">
        <v>511</v>
      </c>
      <c r="I8" s="172" t="s">
        <v>550</v>
      </c>
      <c r="J8" s="173" t="s">
        <v>553</v>
      </c>
    </row>
    <row r="9" spans="1:10">
      <c r="A9" s="144">
        <v>5</v>
      </c>
      <c r="B9" s="144" t="s">
        <v>513</v>
      </c>
      <c r="C9" s="144" t="s">
        <v>512</v>
      </c>
      <c r="D9" s="144" t="s">
        <v>514</v>
      </c>
      <c r="E9" s="144" t="s">
        <v>515</v>
      </c>
      <c r="G9" s="164"/>
    </row>
    <row r="10" spans="1:10">
      <c r="A10" s="144">
        <v>6</v>
      </c>
      <c r="B10" s="144" t="s">
        <v>522</v>
      </c>
      <c r="C10" s="144" t="s">
        <v>522</v>
      </c>
      <c r="D10" s="144" t="s">
        <v>514</v>
      </c>
      <c r="E10" s="144" t="s">
        <v>515</v>
      </c>
      <c r="G10" s="164"/>
    </row>
    <row r="11" spans="1:10">
      <c r="A11" s="144">
        <v>7</v>
      </c>
      <c r="B11" s="144" t="s">
        <v>513</v>
      </c>
      <c r="C11" s="144" t="s">
        <v>512</v>
      </c>
      <c r="D11" s="144" t="s">
        <v>522</v>
      </c>
      <c r="E11" s="144" t="s">
        <v>522</v>
      </c>
      <c r="G11" s="170" t="s">
        <v>545</v>
      </c>
      <c r="J11" s="173" t="s">
        <v>554</v>
      </c>
    </row>
    <row r="12" spans="1:10">
      <c r="A12" s="144">
        <v>8</v>
      </c>
      <c r="B12" s="144" t="s">
        <v>516</v>
      </c>
      <c r="C12" s="144" t="s">
        <v>517</v>
      </c>
      <c r="D12" s="144" t="s">
        <v>518</v>
      </c>
      <c r="E12" s="144" t="s">
        <v>519</v>
      </c>
    </row>
    <row r="13" spans="1:10">
      <c r="A13" s="144">
        <v>9</v>
      </c>
      <c r="B13" s="144" t="s">
        <v>520</v>
      </c>
      <c r="C13" s="144" t="s">
        <v>521</v>
      </c>
      <c r="D13" s="144" t="s">
        <v>522</v>
      </c>
      <c r="E13" s="144" t="s">
        <v>522</v>
      </c>
      <c r="G13" s="170" t="s">
        <v>544</v>
      </c>
      <c r="H13" s="171" t="s">
        <v>544</v>
      </c>
    </row>
    <row r="14" spans="1:10">
      <c r="A14" s="144">
        <v>10</v>
      </c>
      <c r="B14" s="144" t="s">
        <v>508</v>
      </c>
      <c r="C14" s="144" t="s">
        <v>509</v>
      </c>
      <c r="D14" s="144" t="s">
        <v>522</v>
      </c>
      <c r="E14" s="144" t="s">
        <v>522</v>
      </c>
      <c r="I14" s="166"/>
      <c r="J14" s="167"/>
    </row>
    <row r="15" spans="1:10">
      <c r="A15" s="144">
        <v>11</v>
      </c>
      <c r="B15" s="144" t="s">
        <v>500</v>
      </c>
      <c r="C15" s="144" t="s">
        <v>501</v>
      </c>
      <c r="D15" s="144" t="s">
        <v>522</v>
      </c>
      <c r="E15" s="144" t="s">
        <v>522</v>
      </c>
      <c r="I15" s="166"/>
    </row>
    <row r="16" spans="1:10">
      <c r="A16" s="144">
        <v>12</v>
      </c>
      <c r="B16" s="161" t="s">
        <v>512</v>
      </c>
      <c r="C16" s="161" t="s">
        <v>513</v>
      </c>
      <c r="D16" s="161" t="s">
        <v>520</v>
      </c>
      <c r="E16" s="161" t="s">
        <v>521</v>
      </c>
      <c r="G16" s="164"/>
    </row>
    <row r="18" spans="1:10">
      <c r="A18" s="163" t="s">
        <v>540</v>
      </c>
      <c r="J18" s="148" t="s">
        <v>557</v>
      </c>
    </row>
    <row r="19" spans="1:10">
      <c r="A19" s="164" t="s">
        <v>541</v>
      </c>
      <c r="J19" s="148" t="s">
        <v>558</v>
      </c>
    </row>
    <row r="20" spans="1:10">
      <c r="A20" s="165" t="s">
        <v>542</v>
      </c>
      <c r="J20" s="148" t="s">
        <v>559</v>
      </c>
    </row>
    <row r="21" spans="1:10">
      <c r="A21" s="166" t="s">
        <v>543</v>
      </c>
      <c r="J21" s="148" t="s">
        <v>560</v>
      </c>
    </row>
    <row r="22" spans="1:10">
      <c r="A22" s="167" t="s">
        <v>552</v>
      </c>
      <c r="J22" s="148" t="s">
        <v>555</v>
      </c>
    </row>
    <row r="23" spans="1:10">
      <c r="J23" s="148" t="s">
        <v>556</v>
      </c>
    </row>
    <row r="24" spans="1:10">
      <c r="J24" s="148" t="s">
        <v>561</v>
      </c>
    </row>
    <row r="25" spans="1:10">
      <c r="J25" s="148" t="s">
        <v>562</v>
      </c>
    </row>
    <row r="26" spans="1:10">
      <c r="J26" s="148" t="s">
        <v>563</v>
      </c>
    </row>
    <row r="27" spans="1:10">
      <c r="J27" s="148" t="s">
        <v>564</v>
      </c>
    </row>
    <row r="28" spans="1:10">
      <c r="J28" s="148" t="s">
        <v>565</v>
      </c>
    </row>
    <row r="29" spans="1:10">
      <c r="J29" s="148" t="s">
        <v>566</v>
      </c>
    </row>
    <row r="30" spans="1:10">
      <c r="J30" s="148" t="s">
        <v>567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4"/>
  <dimension ref="A1:J69"/>
  <sheetViews>
    <sheetView workbookViewId="0">
      <selection sqref="A1:XFD1048576"/>
    </sheetView>
  </sheetViews>
  <sheetFormatPr defaultColWidth="9" defaultRowHeight="14.25"/>
  <cols>
    <col min="1" max="1" width="18.375" style="218" customWidth="1"/>
    <col min="2" max="2" width="11.5" style="218" customWidth="1"/>
    <col min="3" max="3" width="23" style="218" bestFit="1" customWidth="1"/>
    <col min="4" max="4" width="10.75" style="218" bestFit="1" customWidth="1"/>
    <col min="5" max="5" width="24.125" style="218" bestFit="1" customWidth="1"/>
    <col min="6" max="6" width="21.25" style="218" hidden="1" customWidth="1"/>
    <col min="7" max="7" width="22.5" style="218" customWidth="1"/>
    <col min="8" max="16384" width="9" style="218"/>
  </cols>
  <sheetData>
    <row r="1" spans="1:9" ht="15.75">
      <c r="A1" s="221" t="s">
        <v>861</v>
      </c>
      <c r="B1" s="221" t="s">
        <v>862</v>
      </c>
      <c r="C1" s="221" t="s">
        <v>863</v>
      </c>
      <c r="D1" s="221" t="s">
        <v>864</v>
      </c>
      <c r="E1" s="221" t="s">
        <v>865</v>
      </c>
      <c r="F1" s="221" t="s">
        <v>866</v>
      </c>
      <c r="G1" s="221" t="s">
        <v>867</v>
      </c>
      <c r="H1" s="217"/>
      <c r="I1" s="218" t="s">
        <v>681</v>
      </c>
    </row>
    <row r="2" spans="1:9" ht="15">
      <c r="A2" s="222" t="s">
        <v>868</v>
      </c>
      <c r="B2" s="222">
        <v>0.9</v>
      </c>
      <c r="C2" s="222" t="s">
        <v>869</v>
      </c>
      <c r="D2" s="222"/>
      <c r="E2" s="222" t="s">
        <v>869</v>
      </c>
      <c r="F2" s="222"/>
      <c r="G2" s="222"/>
    </row>
    <row r="3" spans="1:9" ht="15">
      <c r="A3" s="222" t="s">
        <v>870</v>
      </c>
      <c r="B3" s="222">
        <v>0.9</v>
      </c>
      <c r="C3" s="222" t="s">
        <v>871</v>
      </c>
      <c r="D3" s="222"/>
      <c r="E3" s="222" t="s">
        <v>871</v>
      </c>
      <c r="F3" s="222"/>
      <c r="G3" s="222"/>
    </row>
    <row r="4" spans="1:9" ht="15">
      <c r="A4" s="222" t="s">
        <v>872</v>
      </c>
      <c r="B4" s="222">
        <v>0</v>
      </c>
      <c r="C4" s="222" t="s">
        <v>873</v>
      </c>
      <c r="D4" s="222"/>
      <c r="E4" s="222" t="s">
        <v>873</v>
      </c>
      <c r="F4" s="222"/>
      <c r="G4" s="222"/>
    </row>
    <row r="5" spans="1:9" ht="15">
      <c r="A5" s="347" t="s">
        <v>874</v>
      </c>
      <c r="B5" s="223">
        <v>1.8</v>
      </c>
      <c r="C5" s="223" t="s">
        <v>685</v>
      </c>
      <c r="D5" s="223"/>
      <c r="E5" s="223" t="s">
        <v>875</v>
      </c>
      <c r="F5" s="222"/>
      <c r="G5" s="349"/>
    </row>
    <row r="6" spans="1:9" ht="15">
      <c r="A6" s="351"/>
      <c r="B6" s="223">
        <v>1.8</v>
      </c>
      <c r="C6" s="223" t="s">
        <v>876</v>
      </c>
      <c r="D6" s="223"/>
      <c r="E6" s="223" t="s">
        <v>877</v>
      </c>
      <c r="F6" s="222"/>
      <c r="G6" s="352"/>
    </row>
    <row r="7" spans="1:9" ht="15">
      <c r="A7" s="351"/>
      <c r="B7" s="223">
        <v>1.8</v>
      </c>
      <c r="C7" s="223" t="s">
        <v>675</v>
      </c>
      <c r="D7" s="223"/>
      <c r="E7" s="223" t="s">
        <v>875</v>
      </c>
      <c r="F7" s="222"/>
      <c r="G7" s="352"/>
    </row>
    <row r="8" spans="1:9" ht="15">
      <c r="A8" s="351"/>
      <c r="B8" s="223">
        <v>1.8</v>
      </c>
      <c r="C8" s="223" t="s">
        <v>676</v>
      </c>
      <c r="D8" s="223"/>
      <c r="E8" s="223" t="s">
        <v>875</v>
      </c>
      <c r="F8" s="222"/>
      <c r="G8" s="352"/>
    </row>
    <row r="9" spans="1:9" ht="15">
      <c r="A9" s="351"/>
      <c r="B9" s="223">
        <v>1.8</v>
      </c>
      <c r="C9" s="223" t="s">
        <v>677</v>
      </c>
      <c r="D9" s="223"/>
      <c r="E9" s="223" t="s">
        <v>875</v>
      </c>
      <c r="F9" s="222"/>
      <c r="G9" s="352"/>
    </row>
    <row r="10" spans="1:9" ht="15">
      <c r="A10" s="351"/>
      <c r="B10" s="223">
        <v>1.8</v>
      </c>
      <c r="C10" s="223" t="s">
        <v>878</v>
      </c>
      <c r="D10" s="223"/>
      <c r="E10" s="223" t="s">
        <v>875</v>
      </c>
      <c r="F10" s="222"/>
      <c r="G10" s="352"/>
    </row>
    <row r="11" spans="1:9" ht="15">
      <c r="A11" s="348"/>
      <c r="B11" s="223">
        <v>1.8</v>
      </c>
      <c r="C11" s="223" t="s">
        <v>686</v>
      </c>
      <c r="D11" s="223"/>
      <c r="E11" s="223" t="s">
        <v>875</v>
      </c>
      <c r="F11" s="222"/>
      <c r="G11" s="350"/>
    </row>
    <row r="12" spans="1:9" ht="15">
      <c r="A12" s="347" t="s">
        <v>956</v>
      </c>
      <c r="B12" s="222" t="s">
        <v>880</v>
      </c>
      <c r="C12" s="222" t="s">
        <v>881</v>
      </c>
      <c r="D12" s="222"/>
      <c r="E12" s="222" t="s">
        <v>881</v>
      </c>
      <c r="F12" s="222"/>
      <c r="G12" s="356" t="s">
        <v>682</v>
      </c>
    </row>
    <row r="13" spans="1:9" ht="15">
      <c r="A13" s="351"/>
      <c r="B13" s="222">
        <v>1.8</v>
      </c>
      <c r="C13" s="222" t="s">
        <v>882</v>
      </c>
      <c r="D13" s="222"/>
      <c r="E13" s="222" t="s">
        <v>882</v>
      </c>
      <c r="F13" s="222"/>
      <c r="G13" s="357"/>
    </row>
    <row r="14" spans="1:9" ht="15">
      <c r="A14" s="348"/>
      <c r="B14" s="222" t="s">
        <v>883</v>
      </c>
      <c r="C14" s="222" t="s">
        <v>884</v>
      </c>
      <c r="D14" s="222"/>
      <c r="E14" s="222" t="s">
        <v>884</v>
      </c>
      <c r="F14" s="222"/>
      <c r="G14" s="358"/>
    </row>
    <row r="15" spans="1:9" ht="15" customHeight="1">
      <c r="A15" s="347" t="s">
        <v>885</v>
      </c>
      <c r="B15" s="223">
        <v>1.2</v>
      </c>
      <c r="C15" s="223" t="s">
        <v>886</v>
      </c>
      <c r="D15" s="223"/>
      <c r="E15" s="223" t="s">
        <v>886</v>
      </c>
      <c r="F15" s="222"/>
      <c r="G15" s="349" t="s">
        <v>887</v>
      </c>
    </row>
    <row r="16" spans="1:9" ht="15">
      <c r="A16" s="351"/>
      <c r="B16" s="223">
        <v>0</v>
      </c>
      <c r="C16" s="223" t="s">
        <v>888</v>
      </c>
      <c r="D16" s="223"/>
      <c r="E16" s="223" t="s">
        <v>873</v>
      </c>
      <c r="F16" s="222"/>
      <c r="G16" s="352"/>
    </row>
    <row r="17" spans="1:7" ht="15">
      <c r="A17" s="351"/>
      <c r="B17" s="223">
        <v>1.2</v>
      </c>
      <c r="C17" s="223" t="s">
        <v>889</v>
      </c>
      <c r="D17" s="223"/>
      <c r="E17" s="223" t="s">
        <v>889</v>
      </c>
      <c r="F17" s="222"/>
      <c r="G17" s="352"/>
    </row>
    <row r="18" spans="1:7" ht="15">
      <c r="A18" s="351"/>
      <c r="B18" s="223">
        <v>0</v>
      </c>
      <c r="C18" s="223" t="s">
        <v>890</v>
      </c>
      <c r="D18" s="223"/>
      <c r="E18" s="223" t="s">
        <v>873</v>
      </c>
      <c r="F18" s="222"/>
      <c r="G18" s="352"/>
    </row>
    <row r="19" spans="1:7" ht="15">
      <c r="A19" s="351"/>
      <c r="B19" s="223">
        <v>1.8</v>
      </c>
      <c r="C19" s="223" t="s">
        <v>891</v>
      </c>
      <c r="D19" s="223"/>
      <c r="E19" s="223" t="s">
        <v>891</v>
      </c>
      <c r="F19" s="222"/>
      <c r="G19" s="352"/>
    </row>
    <row r="20" spans="1:7" ht="15">
      <c r="A20" s="351"/>
      <c r="B20" s="223">
        <v>1.8</v>
      </c>
      <c r="C20" s="223" t="s">
        <v>687</v>
      </c>
      <c r="D20" s="223"/>
      <c r="E20" s="223" t="s">
        <v>892</v>
      </c>
      <c r="F20" s="222"/>
      <c r="G20" s="352"/>
    </row>
    <row r="21" spans="1:7" ht="15">
      <c r="A21" s="351"/>
      <c r="B21" s="223">
        <v>0.6</v>
      </c>
      <c r="C21" s="223" t="s">
        <v>893</v>
      </c>
      <c r="D21" s="223"/>
      <c r="E21" s="223" t="s">
        <v>893</v>
      </c>
      <c r="F21" s="222"/>
      <c r="G21" s="352"/>
    </row>
    <row r="22" spans="1:7" ht="15">
      <c r="A22" s="351"/>
      <c r="B22" s="223">
        <v>0.6</v>
      </c>
      <c r="C22" s="223" t="s">
        <v>894</v>
      </c>
      <c r="D22" s="223"/>
      <c r="E22" s="223" t="s">
        <v>893</v>
      </c>
      <c r="F22" s="222"/>
      <c r="G22" s="352"/>
    </row>
    <row r="23" spans="1:7" ht="15">
      <c r="A23" s="348"/>
      <c r="B23" s="223">
        <v>0.6</v>
      </c>
      <c r="C23" s="223" t="s">
        <v>895</v>
      </c>
      <c r="D23" s="223"/>
      <c r="E23" s="223" t="s">
        <v>896</v>
      </c>
      <c r="F23" s="222"/>
      <c r="G23" s="350"/>
    </row>
    <row r="24" spans="1:7" ht="15" customHeight="1">
      <c r="A24" s="347" t="s">
        <v>905</v>
      </c>
      <c r="B24" s="223">
        <v>1.8</v>
      </c>
      <c r="C24" s="224" t="s">
        <v>906</v>
      </c>
      <c r="D24" s="223"/>
      <c r="E24" s="225" t="s">
        <v>907</v>
      </c>
      <c r="F24" s="222"/>
      <c r="G24" s="349" t="s">
        <v>682</v>
      </c>
    </row>
    <row r="25" spans="1:7" ht="15">
      <c r="A25" s="351"/>
      <c r="B25" s="223">
        <v>0</v>
      </c>
      <c r="C25" s="224" t="s">
        <v>908</v>
      </c>
      <c r="D25" s="223"/>
      <c r="E25" s="225" t="s">
        <v>873</v>
      </c>
      <c r="F25" s="222"/>
      <c r="G25" s="352"/>
    </row>
    <row r="26" spans="1:7" ht="15">
      <c r="A26" s="351"/>
      <c r="B26" s="223">
        <v>0</v>
      </c>
      <c r="C26" s="224" t="s">
        <v>683</v>
      </c>
      <c r="D26" s="223"/>
      <c r="E26" s="225" t="s">
        <v>909</v>
      </c>
      <c r="F26" s="222"/>
      <c r="G26" s="352"/>
    </row>
    <row r="27" spans="1:7" ht="15">
      <c r="A27" s="351"/>
      <c r="B27" s="223">
        <v>0</v>
      </c>
      <c r="C27" s="224" t="s">
        <v>910</v>
      </c>
      <c r="D27" s="223"/>
      <c r="E27" s="225" t="s">
        <v>909</v>
      </c>
      <c r="F27" s="222"/>
      <c r="G27" s="352"/>
    </row>
    <row r="28" spans="1:7" ht="15">
      <c r="A28" s="351"/>
      <c r="B28" s="223">
        <v>0</v>
      </c>
      <c r="C28" s="224" t="s">
        <v>911</v>
      </c>
      <c r="D28" s="223"/>
      <c r="E28" s="225" t="s">
        <v>909</v>
      </c>
      <c r="F28" s="222"/>
      <c r="G28" s="352"/>
    </row>
    <row r="29" spans="1:7" ht="15">
      <c r="A29" s="351"/>
      <c r="B29" s="223">
        <v>0</v>
      </c>
      <c r="C29" s="224" t="s">
        <v>688</v>
      </c>
      <c r="D29" s="223"/>
      <c r="E29" s="225" t="s">
        <v>909</v>
      </c>
      <c r="F29" s="222"/>
      <c r="G29" s="352"/>
    </row>
    <row r="30" spans="1:7" ht="15">
      <c r="A30" s="351"/>
      <c r="B30" s="223">
        <v>0</v>
      </c>
      <c r="C30" s="224" t="s">
        <v>689</v>
      </c>
      <c r="D30" s="223"/>
      <c r="E30" s="225" t="s">
        <v>909</v>
      </c>
      <c r="F30" s="222"/>
      <c r="G30" s="352"/>
    </row>
    <row r="31" spans="1:7" ht="15">
      <c r="A31" s="351"/>
      <c r="B31" s="223">
        <v>0</v>
      </c>
      <c r="C31" s="224" t="s">
        <v>690</v>
      </c>
      <c r="D31" s="223"/>
      <c r="E31" s="225" t="s">
        <v>909</v>
      </c>
      <c r="F31" s="222"/>
      <c r="G31" s="352"/>
    </row>
    <row r="32" spans="1:7" ht="15">
      <c r="A32" s="351"/>
      <c r="B32" s="223">
        <v>0.9</v>
      </c>
      <c r="C32" s="224" t="s">
        <v>912</v>
      </c>
      <c r="D32" s="223"/>
      <c r="E32" s="225" t="s">
        <v>691</v>
      </c>
      <c r="F32" s="222"/>
      <c r="G32" s="352"/>
    </row>
    <row r="33" spans="1:10" ht="15">
      <c r="A33" s="351"/>
      <c r="B33" s="223">
        <v>1.3</v>
      </c>
      <c r="C33" s="224" t="s">
        <v>684</v>
      </c>
      <c r="D33" s="223"/>
      <c r="E33" s="225" t="s">
        <v>692</v>
      </c>
      <c r="F33" s="222"/>
      <c r="G33" s="352"/>
    </row>
    <row r="34" spans="1:10" ht="15">
      <c r="A34" s="351"/>
      <c r="B34" s="223">
        <v>1.8</v>
      </c>
      <c r="C34" s="224" t="s">
        <v>913</v>
      </c>
      <c r="D34" s="223"/>
      <c r="E34" s="225" t="s">
        <v>907</v>
      </c>
      <c r="F34" s="222"/>
      <c r="G34" s="352"/>
    </row>
    <row r="35" spans="1:10" ht="15">
      <c r="A35" s="351"/>
      <c r="B35" s="223">
        <v>1.8</v>
      </c>
      <c r="C35" s="224" t="s">
        <v>914</v>
      </c>
      <c r="D35" s="223"/>
      <c r="E35" s="225" t="s">
        <v>907</v>
      </c>
      <c r="F35" s="222"/>
      <c r="G35" s="352"/>
    </row>
    <row r="36" spans="1:10" ht="15">
      <c r="A36" s="351"/>
      <c r="B36" s="223">
        <v>1.8</v>
      </c>
      <c r="C36" s="224" t="s">
        <v>915</v>
      </c>
      <c r="D36" s="223"/>
      <c r="E36" s="225" t="s">
        <v>907</v>
      </c>
      <c r="F36" s="222"/>
      <c r="G36" s="352"/>
    </row>
    <row r="37" spans="1:10" ht="15">
      <c r="A37" s="351"/>
      <c r="B37" s="223">
        <v>1.8</v>
      </c>
      <c r="C37" s="224" t="s">
        <v>916</v>
      </c>
      <c r="D37" s="223"/>
      <c r="E37" s="225" t="s">
        <v>907</v>
      </c>
      <c r="F37" s="222"/>
      <c r="G37" s="352"/>
    </row>
    <row r="38" spans="1:10" ht="15">
      <c r="A38" s="351"/>
      <c r="B38" s="223">
        <v>0</v>
      </c>
      <c r="C38" s="224" t="s">
        <v>917</v>
      </c>
      <c r="D38" s="223"/>
      <c r="E38" s="225" t="s">
        <v>909</v>
      </c>
      <c r="F38" s="222"/>
      <c r="G38" s="352"/>
    </row>
    <row r="39" spans="1:10" ht="15">
      <c r="A39" s="351"/>
      <c r="B39" s="223">
        <v>0</v>
      </c>
      <c r="C39" s="224" t="s">
        <v>918</v>
      </c>
      <c r="D39" s="223"/>
      <c r="E39" s="225" t="s">
        <v>909</v>
      </c>
      <c r="F39" s="222"/>
      <c r="G39" s="352"/>
    </row>
    <row r="40" spans="1:10" ht="15">
      <c r="A40" s="351"/>
      <c r="B40" s="223">
        <v>0.9</v>
      </c>
      <c r="C40" s="224" t="s">
        <v>919</v>
      </c>
      <c r="D40" s="223"/>
      <c r="E40" s="225" t="s">
        <v>691</v>
      </c>
      <c r="F40" s="222"/>
      <c r="G40" s="352"/>
    </row>
    <row r="41" spans="1:10" ht="15">
      <c r="A41" s="348"/>
      <c r="B41" s="223">
        <v>0.9</v>
      </c>
      <c r="C41" s="224" t="s">
        <v>920</v>
      </c>
      <c r="D41" s="223"/>
      <c r="E41" s="225" t="s">
        <v>691</v>
      </c>
      <c r="F41" s="222"/>
      <c r="G41" s="350"/>
    </row>
    <row r="42" spans="1:10" ht="15">
      <c r="A42" s="353" t="s">
        <v>921</v>
      </c>
      <c r="B42" s="222">
        <v>0.9</v>
      </c>
      <c r="C42" s="222" t="s">
        <v>922</v>
      </c>
      <c r="D42" s="222"/>
      <c r="E42" s="222" t="s">
        <v>922</v>
      </c>
      <c r="F42" s="222"/>
      <c r="G42" s="349"/>
    </row>
    <row r="43" spans="1:10" ht="18">
      <c r="A43" s="354"/>
      <c r="B43" s="223">
        <v>3.3</v>
      </c>
      <c r="C43" s="230" t="s">
        <v>926</v>
      </c>
      <c r="D43" s="223"/>
      <c r="E43" s="230" t="s">
        <v>927</v>
      </c>
      <c r="F43" s="222"/>
      <c r="G43" s="352"/>
      <c r="I43" s="227"/>
      <c r="J43" s="231"/>
    </row>
    <row r="44" spans="1:10" ht="18">
      <c r="A44" s="355"/>
      <c r="B44" s="223">
        <v>0</v>
      </c>
      <c r="C44" s="223" t="s">
        <v>930</v>
      </c>
      <c r="D44" s="223"/>
      <c r="E44" s="223" t="s">
        <v>873</v>
      </c>
      <c r="F44" s="222"/>
      <c r="G44" s="350"/>
      <c r="I44" s="227"/>
      <c r="J44" s="231"/>
    </row>
    <row r="45" spans="1:10" ht="14.25" customHeight="1">
      <c r="A45" s="347" t="s">
        <v>931</v>
      </c>
      <c r="B45" s="232">
        <v>0.9</v>
      </c>
      <c r="C45" s="232" t="s">
        <v>932</v>
      </c>
      <c r="D45" s="232"/>
      <c r="E45" s="232" t="s">
        <v>933</v>
      </c>
      <c r="F45" s="222"/>
      <c r="G45" s="356"/>
      <c r="I45" s="227"/>
      <c r="J45" s="231"/>
    </row>
    <row r="46" spans="1:10" ht="18">
      <c r="A46" s="351"/>
      <c r="B46" s="232">
        <v>0.9</v>
      </c>
      <c r="C46" s="232" t="s">
        <v>934</v>
      </c>
      <c r="D46" s="232"/>
      <c r="E46" s="232" t="s">
        <v>935</v>
      </c>
      <c r="F46" s="222"/>
      <c r="G46" s="357"/>
      <c r="I46" s="227"/>
      <c r="J46" s="228"/>
    </row>
    <row r="47" spans="1:10" ht="18">
      <c r="A47" s="351"/>
      <c r="B47" s="232">
        <v>1.8</v>
      </c>
      <c r="C47" s="232" t="s">
        <v>936</v>
      </c>
      <c r="D47" s="232"/>
      <c r="E47" s="232" t="s">
        <v>937</v>
      </c>
      <c r="F47" s="222"/>
      <c r="G47" s="357"/>
      <c r="I47" s="227"/>
      <c r="J47" s="228"/>
    </row>
    <row r="48" spans="1:10" ht="18">
      <c r="A48" s="348"/>
      <c r="B48" s="223">
        <v>0</v>
      </c>
      <c r="C48" s="223" t="s">
        <v>938</v>
      </c>
      <c r="D48" s="223"/>
      <c r="E48" s="223" t="s">
        <v>873</v>
      </c>
      <c r="F48" s="222"/>
      <c r="G48" s="358"/>
      <c r="I48" s="227"/>
      <c r="J48" s="228"/>
    </row>
    <row r="49" spans="1:10" ht="18" customHeight="1">
      <c r="A49" s="347" t="s">
        <v>939</v>
      </c>
      <c r="B49" s="222">
        <v>1.2</v>
      </c>
      <c r="C49" s="222" t="s">
        <v>940</v>
      </c>
      <c r="D49" s="222">
        <v>1</v>
      </c>
      <c r="E49" s="222" t="s">
        <v>940</v>
      </c>
      <c r="F49" s="222"/>
      <c r="G49" s="349" t="s">
        <v>887</v>
      </c>
      <c r="I49" s="227"/>
      <c r="J49" s="228"/>
    </row>
    <row r="50" spans="1:10" ht="18">
      <c r="A50" s="348"/>
      <c r="B50" s="222">
        <v>0</v>
      </c>
      <c r="C50" s="222" t="s">
        <v>941</v>
      </c>
      <c r="D50" s="222">
        <v>1</v>
      </c>
      <c r="E50" s="222" t="s">
        <v>941</v>
      </c>
      <c r="F50" s="222"/>
      <c r="G50" s="350"/>
      <c r="I50" s="227"/>
      <c r="J50" s="228"/>
    </row>
    <row r="51" spans="1:10" ht="18">
      <c r="A51" s="347" t="s">
        <v>942</v>
      </c>
      <c r="B51" s="222">
        <v>1.8</v>
      </c>
      <c r="C51" s="222" t="s">
        <v>943</v>
      </c>
      <c r="D51" s="222">
        <v>3</v>
      </c>
      <c r="E51" s="222" t="s">
        <v>943</v>
      </c>
      <c r="F51" s="222"/>
      <c r="G51" s="349"/>
      <c r="I51" s="227"/>
      <c r="J51" s="228"/>
    </row>
    <row r="52" spans="1:10" ht="18">
      <c r="A52" s="351"/>
      <c r="B52" s="222">
        <v>0.9</v>
      </c>
      <c r="C52" s="222" t="s">
        <v>944</v>
      </c>
      <c r="D52" s="222">
        <v>3</v>
      </c>
      <c r="E52" s="222" t="s">
        <v>944</v>
      </c>
      <c r="F52" s="222"/>
      <c r="G52" s="352"/>
      <c r="I52" s="227"/>
      <c r="J52" s="231"/>
    </row>
    <row r="53" spans="1:10" ht="18">
      <c r="A53" s="348"/>
      <c r="B53" s="222">
        <v>0</v>
      </c>
      <c r="C53" s="222" t="s">
        <v>945</v>
      </c>
      <c r="D53" s="222">
        <v>3</v>
      </c>
      <c r="E53" s="222" t="s">
        <v>945</v>
      </c>
      <c r="F53" s="222"/>
      <c r="G53" s="350"/>
      <c r="I53" s="227"/>
      <c r="J53" s="231"/>
    </row>
    <row r="54" spans="1:10" ht="18">
      <c r="A54" s="347" t="s">
        <v>946</v>
      </c>
      <c r="B54" s="222">
        <v>1.8</v>
      </c>
      <c r="C54" s="222" t="s">
        <v>947</v>
      </c>
      <c r="D54" s="222">
        <v>1</v>
      </c>
      <c r="E54" s="222" t="s">
        <v>948</v>
      </c>
      <c r="F54" s="222"/>
      <c r="G54" s="349"/>
      <c r="I54" s="227"/>
      <c r="J54" s="228"/>
    </row>
    <row r="55" spans="1:10" ht="18">
      <c r="A55" s="351"/>
      <c r="B55" s="222">
        <v>0.9</v>
      </c>
      <c r="C55" s="222" t="s">
        <v>949</v>
      </c>
      <c r="D55" s="222">
        <v>1</v>
      </c>
      <c r="E55" s="222" t="s">
        <v>950</v>
      </c>
      <c r="F55" s="222"/>
      <c r="G55" s="352"/>
      <c r="I55" s="227"/>
      <c r="J55" s="228"/>
    </row>
    <row r="56" spans="1:10" ht="18">
      <c r="A56" s="348"/>
      <c r="B56" s="222">
        <v>0</v>
      </c>
      <c r="C56" s="222" t="s">
        <v>951</v>
      </c>
      <c r="D56" s="222">
        <v>1</v>
      </c>
      <c r="E56" s="222" t="s">
        <v>952</v>
      </c>
      <c r="F56" s="222"/>
      <c r="G56" s="350"/>
      <c r="I56" s="227"/>
      <c r="J56" s="231"/>
    </row>
    <row r="57" spans="1:10" ht="18">
      <c r="A57" s="347" t="s">
        <v>953</v>
      </c>
      <c r="B57" s="222">
        <v>1.8</v>
      </c>
      <c r="C57" s="222" t="s">
        <v>954</v>
      </c>
      <c r="D57" s="222">
        <v>1</v>
      </c>
      <c r="E57" s="222" t="s">
        <v>954</v>
      </c>
      <c r="F57" s="222"/>
      <c r="G57" s="349"/>
      <c r="I57" s="227"/>
      <c r="J57" s="231"/>
    </row>
    <row r="58" spans="1:10" ht="18">
      <c r="A58" s="348"/>
      <c r="B58" s="223">
        <v>0</v>
      </c>
      <c r="C58" s="223" t="s">
        <v>955</v>
      </c>
      <c r="D58" s="223">
        <v>1</v>
      </c>
      <c r="E58" s="223" t="s">
        <v>873</v>
      </c>
      <c r="F58" s="222"/>
      <c r="G58" s="350"/>
      <c r="I58" s="227"/>
      <c r="J58" s="231"/>
    </row>
    <row r="59" spans="1:10" ht="18">
      <c r="A59" s="232" t="s">
        <v>693</v>
      </c>
      <c r="B59" s="222">
        <v>1.8</v>
      </c>
      <c r="C59" s="222" t="s">
        <v>694</v>
      </c>
      <c r="D59" s="222">
        <v>1</v>
      </c>
      <c r="E59" s="222" t="s">
        <v>694</v>
      </c>
      <c r="F59" s="222"/>
      <c r="G59" s="222" t="s">
        <v>887</v>
      </c>
      <c r="I59" s="227"/>
      <c r="J59" s="231"/>
    </row>
    <row r="60" spans="1:10" ht="18" customHeight="1">
      <c r="A60" s="347" t="s">
        <v>695</v>
      </c>
      <c r="B60" s="222">
        <v>1.8</v>
      </c>
      <c r="C60" s="222" t="s">
        <v>696</v>
      </c>
      <c r="D60" s="222"/>
      <c r="E60" s="222" t="s">
        <v>696</v>
      </c>
      <c r="F60" s="222"/>
      <c r="G60" s="349" t="s">
        <v>887</v>
      </c>
      <c r="I60" s="227"/>
      <c r="J60" s="231"/>
    </row>
    <row r="61" spans="1:10" ht="18">
      <c r="A61" s="348"/>
      <c r="B61" s="222">
        <v>0</v>
      </c>
      <c r="C61" s="222" t="s">
        <v>697</v>
      </c>
      <c r="D61" s="222"/>
      <c r="E61" s="222" t="s">
        <v>697</v>
      </c>
      <c r="F61" s="222"/>
      <c r="G61" s="350"/>
      <c r="I61" s="227"/>
      <c r="J61" s="231"/>
    </row>
    <row r="62" spans="1:10" ht="18">
      <c r="I62" s="227"/>
      <c r="J62" s="228"/>
    </row>
    <row r="63" spans="1:10" ht="18">
      <c r="I63" s="227"/>
      <c r="J63" s="228"/>
    </row>
    <row r="64" spans="1:10" ht="18">
      <c r="I64" s="227"/>
      <c r="J64" s="228"/>
    </row>
    <row r="65" spans="9:10" ht="18">
      <c r="I65" s="227"/>
      <c r="J65" s="228"/>
    </row>
    <row r="66" spans="9:10" ht="18">
      <c r="I66" s="227"/>
      <c r="J66" s="231"/>
    </row>
    <row r="67" spans="9:10" ht="18">
      <c r="I67" s="227"/>
      <c r="J67" s="231"/>
    </row>
    <row r="68" spans="9:10" ht="18">
      <c r="I68" s="227"/>
      <c r="J68" s="228"/>
    </row>
    <row r="69" spans="9:10" ht="18">
      <c r="I69" s="227"/>
      <c r="J69" s="228"/>
    </row>
  </sheetData>
  <mergeCells count="22">
    <mergeCell ref="A5:A11"/>
    <mergeCell ref="G5:G11"/>
    <mergeCell ref="A12:A14"/>
    <mergeCell ref="G12:G14"/>
    <mergeCell ref="A15:A23"/>
    <mergeCell ref="G15:G23"/>
    <mergeCell ref="A24:A41"/>
    <mergeCell ref="G24:G41"/>
    <mergeCell ref="A42:A44"/>
    <mergeCell ref="G42:G44"/>
    <mergeCell ref="A45:A48"/>
    <mergeCell ref="G45:G48"/>
    <mergeCell ref="A57:A58"/>
    <mergeCell ref="G57:G58"/>
    <mergeCell ref="A60:A61"/>
    <mergeCell ref="G60:G61"/>
    <mergeCell ref="A49:A50"/>
    <mergeCell ref="G49:G50"/>
    <mergeCell ref="A51:A53"/>
    <mergeCell ref="G51:G53"/>
    <mergeCell ref="A54:A56"/>
    <mergeCell ref="G54:G56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3"/>
  <dimension ref="A1:J80"/>
  <sheetViews>
    <sheetView workbookViewId="0">
      <selection activeCell="D39" sqref="D39"/>
    </sheetView>
  </sheetViews>
  <sheetFormatPr defaultColWidth="9" defaultRowHeight="14.25"/>
  <cols>
    <col min="1" max="1" width="18.375" style="218" customWidth="1"/>
    <col min="2" max="2" width="11.5" style="218" customWidth="1"/>
    <col min="3" max="3" width="23" style="218" bestFit="1" customWidth="1"/>
    <col min="4" max="4" width="10.75" style="218" bestFit="1" customWidth="1"/>
    <col min="5" max="5" width="24.125" style="218" bestFit="1" customWidth="1"/>
    <col min="6" max="6" width="21.25" style="218" hidden="1" customWidth="1"/>
    <col min="7" max="7" width="22.5" style="218" customWidth="1"/>
    <col min="8" max="16384" width="9" style="218"/>
  </cols>
  <sheetData>
    <row r="1" spans="1:9" ht="15.75">
      <c r="A1" s="221" t="s">
        <v>861</v>
      </c>
      <c r="B1" s="221" t="s">
        <v>862</v>
      </c>
      <c r="C1" s="221" t="s">
        <v>863</v>
      </c>
      <c r="D1" s="221" t="s">
        <v>864</v>
      </c>
      <c r="E1" s="221" t="s">
        <v>865</v>
      </c>
      <c r="F1" s="221" t="s">
        <v>866</v>
      </c>
      <c r="G1" s="221" t="s">
        <v>867</v>
      </c>
      <c r="H1" s="217"/>
      <c r="I1" s="218" t="s">
        <v>681</v>
      </c>
    </row>
    <row r="2" spans="1:9" ht="15">
      <c r="A2" s="222" t="s">
        <v>868</v>
      </c>
      <c r="B2" s="222">
        <v>0.9</v>
      </c>
      <c r="C2" s="222" t="s">
        <v>869</v>
      </c>
      <c r="D2" s="222"/>
      <c r="E2" s="222" t="s">
        <v>869</v>
      </c>
      <c r="F2" s="222"/>
      <c r="G2" s="222"/>
    </row>
    <row r="3" spans="1:9" ht="15">
      <c r="A3" s="222" t="s">
        <v>870</v>
      </c>
      <c r="B3" s="222">
        <v>0.9</v>
      </c>
      <c r="C3" s="222" t="s">
        <v>871</v>
      </c>
      <c r="D3" s="222"/>
      <c r="E3" s="222" t="s">
        <v>871</v>
      </c>
      <c r="F3" s="222"/>
      <c r="G3" s="222"/>
    </row>
    <row r="4" spans="1:9" ht="15">
      <c r="A4" s="222" t="s">
        <v>872</v>
      </c>
      <c r="B4" s="222">
        <v>0</v>
      </c>
      <c r="C4" s="222" t="s">
        <v>873</v>
      </c>
      <c r="D4" s="222"/>
      <c r="E4" s="222" t="s">
        <v>873</v>
      </c>
      <c r="F4" s="222"/>
      <c r="G4" s="222"/>
    </row>
    <row r="5" spans="1:9" ht="15">
      <c r="A5" s="347" t="s">
        <v>874</v>
      </c>
      <c r="B5" s="223">
        <v>1.8</v>
      </c>
      <c r="C5" s="223" t="s">
        <v>685</v>
      </c>
      <c r="D5" s="223"/>
      <c r="E5" s="223" t="s">
        <v>875</v>
      </c>
      <c r="F5" s="222"/>
      <c r="G5" s="349"/>
    </row>
    <row r="6" spans="1:9" ht="15">
      <c r="A6" s="351"/>
      <c r="B6" s="223">
        <v>1.8</v>
      </c>
      <c r="C6" s="223" t="s">
        <v>876</v>
      </c>
      <c r="D6" s="223"/>
      <c r="E6" s="223" t="s">
        <v>877</v>
      </c>
      <c r="F6" s="222"/>
      <c r="G6" s="352"/>
    </row>
    <row r="7" spans="1:9" ht="15">
      <c r="A7" s="351"/>
      <c r="B7" s="223">
        <v>1.8</v>
      </c>
      <c r="C7" s="223" t="s">
        <v>675</v>
      </c>
      <c r="D7" s="223"/>
      <c r="E7" s="223" t="s">
        <v>875</v>
      </c>
      <c r="F7" s="222"/>
      <c r="G7" s="352"/>
    </row>
    <row r="8" spans="1:9" ht="15">
      <c r="A8" s="351"/>
      <c r="B8" s="223">
        <v>1.8</v>
      </c>
      <c r="C8" s="223" t="s">
        <v>676</v>
      </c>
      <c r="D8" s="223"/>
      <c r="E8" s="223" t="s">
        <v>875</v>
      </c>
      <c r="F8" s="222"/>
      <c r="G8" s="352"/>
    </row>
    <row r="9" spans="1:9" ht="15">
      <c r="A9" s="351"/>
      <c r="B9" s="223">
        <v>1.8</v>
      </c>
      <c r="C9" s="223" t="s">
        <v>677</v>
      </c>
      <c r="D9" s="223"/>
      <c r="E9" s="223" t="s">
        <v>875</v>
      </c>
      <c r="F9" s="222"/>
      <c r="G9" s="352"/>
    </row>
    <row r="10" spans="1:9" ht="15">
      <c r="A10" s="351"/>
      <c r="B10" s="223">
        <v>1.8</v>
      </c>
      <c r="C10" s="223" t="s">
        <v>878</v>
      </c>
      <c r="D10" s="223"/>
      <c r="E10" s="223" t="s">
        <v>875</v>
      </c>
      <c r="F10" s="222"/>
      <c r="G10" s="352"/>
    </row>
    <row r="11" spans="1:9" ht="15">
      <c r="A11" s="348"/>
      <c r="B11" s="223">
        <v>1.8</v>
      </c>
      <c r="C11" s="223" t="s">
        <v>686</v>
      </c>
      <c r="D11" s="223"/>
      <c r="E11" s="223" t="s">
        <v>875</v>
      </c>
      <c r="F11" s="222"/>
      <c r="G11" s="350"/>
    </row>
    <row r="12" spans="1:9" ht="15">
      <c r="A12" s="351" t="s">
        <v>879</v>
      </c>
      <c r="B12" s="222" t="s">
        <v>880</v>
      </c>
      <c r="C12" s="222" t="s">
        <v>881</v>
      </c>
      <c r="D12" s="222"/>
      <c r="E12" s="222" t="s">
        <v>881</v>
      </c>
      <c r="F12" s="222"/>
      <c r="G12" s="356" t="s">
        <v>682</v>
      </c>
    </row>
    <row r="13" spans="1:9" ht="15">
      <c r="A13" s="351"/>
      <c r="B13" s="222">
        <v>1.8</v>
      </c>
      <c r="C13" s="222" t="s">
        <v>882</v>
      </c>
      <c r="D13" s="222"/>
      <c r="E13" s="222" t="s">
        <v>882</v>
      </c>
      <c r="F13" s="222"/>
      <c r="G13" s="357"/>
    </row>
    <row r="14" spans="1:9" ht="15">
      <c r="A14" s="348"/>
      <c r="B14" s="222" t="s">
        <v>883</v>
      </c>
      <c r="C14" s="222" t="s">
        <v>884</v>
      </c>
      <c r="D14" s="222"/>
      <c r="E14" s="222" t="s">
        <v>884</v>
      </c>
      <c r="F14" s="222"/>
      <c r="G14" s="358"/>
    </row>
    <row r="15" spans="1:9" ht="15">
      <c r="A15" s="347" t="s">
        <v>885</v>
      </c>
      <c r="B15" s="223">
        <v>1.2</v>
      </c>
      <c r="C15" s="223" t="s">
        <v>886</v>
      </c>
      <c r="D15" s="223"/>
      <c r="E15" s="223" t="s">
        <v>886</v>
      </c>
      <c r="F15" s="222"/>
      <c r="G15" s="349" t="s">
        <v>887</v>
      </c>
    </row>
    <row r="16" spans="1:9" ht="15">
      <c r="A16" s="351"/>
      <c r="B16" s="223">
        <v>0</v>
      </c>
      <c r="C16" s="223" t="s">
        <v>888</v>
      </c>
      <c r="D16" s="223"/>
      <c r="E16" s="223" t="s">
        <v>873</v>
      </c>
      <c r="F16" s="222"/>
      <c r="G16" s="352"/>
    </row>
    <row r="17" spans="1:7" ht="15">
      <c r="A17" s="351"/>
      <c r="B17" s="223">
        <v>1.2</v>
      </c>
      <c r="C17" s="223" t="s">
        <v>889</v>
      </c>
      <c r="D17" s="223"/>
      <c r="E17" s="223" t="s">
        <v>889</v>
      </c>
      <c r="F17" s="222"/>
      <c r="G17" s="352"/>
    </row>
    <row r="18" spans="1:7" ht="15">
      <c r="A18" s="351"/>
      <c r="B18" s="223">
        <v>0</v>
      </c>
      <c r="C18" s="223" t="s">
        <v>890</v>
      </c>
      <c r="D18" s="223"/>
      <c r="E18" s="223" t="s">
        <v>873</v>
      </c>
      <c r="F18" s="222"/>
      <c r="G18" s="352"/>
    </row>
    <row r="19" spans="1:7" ht="15">
      <c r="A19" s="351"/>
      <c r="B19" s="223">
        <v>1.8</v>
      </c>
      <c r="C19" s="223" t="s">
        <v>891</v>
      </c>
      <c r="D19" s="223"/>
      <c r="E19" s="223" t="s">
        <v>891</v>
      </c>
      <c r="F19" s="222"/>
      <c r="G19" s="352"/>
    </row>
    <row r="20" spans="1:7" ht="15">
      <c r="A20" s="351"/>
      <c r="B20" s="223">
        <v>1.8</v>
      </c>
      <c r="C20" s="223" t="s">
        <v>687</v>
      </c>
      <c r="D20" s="223"/>
      <c r="E20" s="223" t="s">
        <v>892</v>
      </c>
      <c r="F20" s="222"/>
      <c r="G20" s="352"/>
    </row>
    <row r="21" spans="1:7" ht="15">
      <c r="A21" s="351"/>
      <c r="B21" s="223">
        <v>0.6</v>
      </c>
      <c r="C21" s="223" t="s">
        <v>893</v>
      </c>
      <c r="D21" s="223"/>
      <c r="E21" s="223" t="s">
        <v>893</v>
      </c>
      <c r="F21" s="222"/>
      <c r="G21" s="352"/>
    </row>
    <row r="22" spans="1:7" ht="15">
      <c r="A22" s="351"/>
      <c r="B22" s="223">
        <v>0.6</v>
      </c>
      <c r="C22" s="223" t="s">
        <v>894</v>
      </c>
      <c r="D22" s="223"/>
      <c r="E22" s="223" t="s">
        <v>893</v>
      </c>
      <c r="F22" s="222"/>
      <c r="G22" s="352"/>
    </row>
    <row r="23" spans="1:7" ht="15">
      <c r="A23" s="351"/>
      <c r="B23" s="223">
        <v>0.6</v>
      </c>
      <c r="C23" s="223" t="s">
        <v>895</v>
      </c>
      <c r="D23" s="223"/>
      <c r="E23" s="223" t="s">
        <v>896</v>
      </c>
      <c r="F23" s="222"/>
      <c r="G23" s="352"/>
    </row>
    <row r="24" spans="1:7" ht="15">
      <c r="A24" s="267"/>
      <c r="B24" s="223">
        <v>1.2</v>
      </c>
      <c r="C24" s="223" t="s">
        <v>897</v>
      </c>
      <c r="D24" s="223"/>
      <c r="E24" s="223" t="s">
        <v>898</v>
      </c>
      <c r="F24" s="222"/>
      <c r="G24" s="268"/>
    </row>
    <row r="25" spans="1:7" ht="15">
      <c r="A25" s="267"/>
      <c r="B25" s="223">
        <v>1.8</v>
      </c>
      <c r="C25" s="223" t="s">
        <v>899</v>
      </c>
      <c r="D25" s="223"/>
      <c r="E25" s="223" t="s">
        <v>875</v>
      </c>
      <c r="F25" s="222"/>
      <c r="G25" s="268"/>
    </row>
    <row r="26" spans="1:7" ht="15">
      <c r="A26" s="267"/>
      <c r="B26" s="223">
        <v>0.6</v>
      </c>
      <c r="C26" s="223" t="s">
        <v>900</v>
      </c>
      <c r="D26" s="223"/>
      <c r="E26" s="223" t="s">
        <v>893</v>
      </c>
      <c r="F26" s="222"/>
      <c r="G26" s="268"/>
    </row>
    <row r="27" spans="1:7" ht="15">
      <c r="A27" s="267"/>
      <c r="B27" s="223">
        <v>0.6</v>
      </c>
      <c r="C27" s="223" t="s">
        <v>901</v>
      </c>
      <c r="D27" s="223"/>
      <c r="E27" s="223" t="s">
        <v>902</v>
      </c>
      <c r="F27" s="222"/>
      <c r="G27" s="268"/>
    </row>
    <row r="28" spans="1:7" ht="15">
      <c r="A28" s="267"/>
      <c r="B28" s="223">
        <v>0</v>
      </c>
      <c r="C28" s="223" t="s">
        <v>903</v>
      </c>
      <c r="D28" s="223"/>
      <c r="E28" s="223" t="s">
        <v>873</v>
      </c>
      <c r="F28" s="222"/>
      <c r="G28" s="268"/>
    </row>
    <row r="29" spans="1:7" ht="15">
      <c r="A29" s="267"/>
      <c r="B29" s="223">
        <v>1.2</v>
      </c>
      <c r="C29" s="223" t="s">
        <v>904</v>
      </c>
      <c r="D29" s="223"/>
      <c r="E29" s="223" t="s">
        <v>904</v>
      </c>
      <c r="F29" s="222"/>
      <c r="G29" s="268"/>
    </row>
    <row r="30" spans="1:7" ht="15">
      <c r="A30" s="347" t="s">
        <v>905</v>
      </c>
      <c r="B30" s="223">
        <v>1.8</v>
      </c>
      <c r="C30" s="224" t="s">
        <v>906</v>
      </c>
      <c r="D30" s="223"/>
      <c r="E30" s="225" t="s">
        <v>907</v>
      </c>
      <c r="F30" s="222"/>
      <c r="G30" s="349" t="s">
        <v>682</v>
      </c>
    </row>
    <row r="31" spans="1:7" ht="15">
      <c r="A31" s="359"/>
      <c r="B31" s="223">
        <v>0</v>
      </c>
      <c r="C31" s="224" t="s">
        <v>908</v>
      </c>
      <c r="D31" s="223"/>
      <c r="E31" s="225" t="s">
        <v>873</v>
      </c>
      <c r="F31" s="222"/>
      <c r="G31" s="360"/>
    </row>
    <row r="32" spans="1:7" ht="15">
      <c r="A32" s="359"/>
      <c r="B32" s="223">
        <v>0</v>
      </c>
      <c r="C32" s="224" t="s">
        <v>683</v>
      </c>
      <c r="D32" s="223"/>
      <c r="E32" s="225" t="s">
        <v>909</v>
      </c>
      <c r="F32" s="222"/>
      <c r="G32" s="360"/>
    </row>
    <row r="33" spans="1:7" ht="15">
      <c r="A33" s="359"/>
      <c r="B33" s="223">
        <v>0</v>
      </c>
      <c r="C33" s="224" t="s">
        <v>910</v>
      </c>
      <c r="D33" s="223"/>
      <c r="E33" s="225" t="s">
        <v>909</v>
      </c>
      <c r="F33" s="222"/>
      <c r="G33" s="360"/>
    </row>
    <row r="34" spans="1:7" ht="15">
      <c r="A34" s="359"/>
      <c r="B34" s="223">
        <v>0</v>
      </c>
      <c r="C34" s="224" t="s">
        <v>911</v>
      </c>
      <c r="D34" s="223"/>
      <c r="E34" s="225" t="s">
        <v>909</v>
      </c>
      <c r="F34" s="222"/>
      <c r="G34" s="360"/>
    </row>
    <row r="35" spans="1:7" ht="15">
      <c r="A35" s="359"/>
      <c r="B35" s="223">
        <v>0</v>
      </c>
      <c r="C35" s="224" t="s">
        <v>688</v>
      </c>
      <c r="D35" s="223"/>
      <c r="E35" s="225" t="s">
        <v>909</v>
      </c>
      <c r="F35" s="222"/>
      <c r="G35" s="360"/>
    </row>
    <row r="36" spans="1:7" ht="15">
      <c r="A36" s="359"/>
      <c r="B36" s="223">
        <v>0</v>
      </c>
      <c r="C36" s="224" t="s">
        <v>689</v>
      </c>
      <c r="D36" s="223"/>
      <c r="E36" s="225" t="s">
        <v>909</v>
      </c>
      <c r="F36" s="222"/>
      <c r="G36" s="360"/>
    </row>
    <row r="37" spans="1:7" ht="15">
      <c r="A37" s="359"/>
      <c r="B37" s="223">
        <v>0</v>
      </c>
      <c r="C37" s="224" t="s">
        <v>690</v>
      </c>
      <c r="D37" s="223"/>
      <c r="E37" s="225" t="s">
        <v>909</v>
      </c>
      <c r="F37" s="222"/>
      <c r="G37" s="360"/>
    </row>
    <row r="38" spans="1:7" ht="15">
      <c r="A38" s="359"/>
      <c r="B38" s="223">
        <v>0.9</v>
      </c>
      <c r="C38" s="224" t="s">
        <v>912</v>
      </c>
      <c r="D38" s="223"/>
      <c r="E38" s="225" t="s">
        <v>691</v>
      </c>
      <c r="F38" s="222"/>
      <c r="G38" s="360"/>
    </row>
    <row r="39" spans="1:7" ht="15">
      <c r="A39" s="359"/>
      <c r="B39" s="223">
        <v>1.3</v>
      </c>
      <c r="C39" s="224" t="s">
        <v>684</v>
      </c>
      <c r="D39" s="223"/>
      <c r="E39" s="225" t="s">
        <v>692</v>
      </c>
      <c r="F39" s="222"/>
      <c r="G39" s="360"/>
    </row>
    <row r="40" spans="1:7" ht="15">
      <c r="A40" s="359"/>
      <c r="B40" s="223">
        <v>1.8</v>
      </c>
      <c r="C40" s="224" t="s">
        <v>913</v>
      </c>
      <c r="D40" s="223"/>
      <c r="E40" s="225" t="s">
        <v>907</v>
      </c>
      <c r="F40" s="222"/>
      <c r="G40" s="360"/>
    </row>
    <row r="41" spans="1:7" ht="15">
      <c r="A41" s="359"/>
      <c r="B41" s="223">
        <v>1.8</v>
      </c>
      <c r="C41" s="224" t="s">
        <v>914</v>
      </c>
      <c r="D41" s="223"/>
      <c r="E41" s="225" t="s">
        <v>907</v>
      </c>
      <c r="F41" s="222"/>
      <c r="G41" s="360"/>
    </row>
    <row r="42" spans="1:7" ht="15">
      <c r="A42" s="359"/>
      <c r="B42" s="223">
        <v>1.8</v>
      </c>
      <c r="C42" s="224" t="s">
        <v>915</v>
      </c>
      <c r="D42" s="223"/>
      <c r="E42" s="225" t="s">
        <v>907</v>
      </c>
      <c r="F42" s="222"/>
      <c r="G42" s="360"/>
    </row>
    <row r="43" spans="1:7" ht="15">
      <c r="A43" s="359"/>
      <c r="B43" s="223">
        <v>1.8</v>
      </c>
      <c r="C43" s="224" t="s">
        <v>916</v>
      </c>
      <c r="D43" s="223"/>
      <c r="E43" s="225" t="s">
        <v>907</v>
      </c>
      <c r="F43" s="222"/>
      <c r="G43" s="360"/>
    </row>
    <row r="44" spans="1:7" ht="15">
      <c r="A44" s="359"/>
      <c r="B44" s="223">
        <v>0</v>
      </c>
      <c r="C44" s="224" t="s">
        <v>917</v>
      </c>
      <c r="D44" s="223"/>
      <c r="E44" s="225" t="s">
        <v>909</v>
      </c>
      <c r="F44" s="222"/>
      <c r="G44" s="360"/>
    </row>
    <row r="45" spans="1:7" ht="15">
      <c r="A45" s="359"/>
      <c r="B45" s="223">
        <v>0</v>
      </c>
      <c r="C45" s="224" t="s">
        <v>918</v>
      </c>
      <c r="D45" s="223"/>
      <c r="E45" s="225" t="s">
        <v>909</v>
      </c>
      <c r="F45" s="222"/>
      <c r="G45" s="360"/>
    </row>
    <row r="46" spans="1:7" ht="15">
      <c r="A46" s="359"/>
      <c r="B46" s="223">
        <v>0.9</v>
      </c>
      <c r="C46" s="224" t="s">
        <v>919</v>
      </c>
      <c r="D46" s="223"/>
      <c r="E46" s="225" t="s">
        <v>691</v>
      </c>
      <c r="F46" s="222"/>
      <c r="G46" s="360"/>
    </row>
    <row r="47" spans="1:7" ht="15">
      <c r="A47" s="359"/>
      <c r="B47" s="223">
        <v>0.9</v>
      </c>
      <c r="C47" s="224" t="s">
        <v>920</v>
      </c>
      <c r="D47" s="223"/>
      <c r="E47" s="225" t="s">
        <v>691</v>
      </c>
      <c r="F47" s="222"/>
      <c r="G47" s="360"/>
    </row>
    <row r="48" spans="1:7" ht="15">
      <c r="A48" s="347" t="s">
        <v>921</v>
      </c>
      <c r="B48" s="222">
        <v>0.9</v>
      </c>
      <c r="C48" s="222" t="s">
        <v>922</v>
      </c>
      <c r="D48" s="222"/>
      <c r="E48" s="222" t="s">
        <v>922</v>
      </c>
      <c r="F48" s="222"/>
      <c r="G48" s="349" t="s">
        <v>923</v>
      </c>
    </row>
    <row r="49" spans="1:10" ht="18">
      <c r="A49" s="351"/>
      <c r="B49" s="222">
        <v>0.9</v>
      </c>
      <c r="C49" s="226" t="s">
        <v>924</v>
      </c>
      <c r="D49" s="222"/>
      <c r="E49" s="226" t="s">
        <v>924</v>
      </c>
      <c r="F49" s="222"/>
      <c r="G49" s="352"/>
      <c r="I49" s="227"/>
      <c r="J49" s="228"/>
    </row>
    <row r="50" spans="1:10" ht="18">
      <c r="A50" s="351"/>
      <c r="B50" s="222">
        <v>0.9</v>
      </c>
      <c r="C50" s="226" t="s">
        <v>925</v>
      </c>
      <c r="D50" s="222"/>
      <c r="E50" s="226" t="s">
        <v>925</v>
      </c>
      <c r="F50" s="222"/>
      <c r="G50" s="352"/>
      <c r="I50" s="227"/>
      <c r="J50" s="229"/>
    </row>
    <row r="51" spans="1:10" ht="18">
      <c r="A51" s="351"/>
      <c r="B51" s="223">
        <v>3.3</v>
      </c>
      <c r="C51" s="230" t="s">
        <v>926</v>
      </c>
      <c r="D51" s="223"/>
      <c r="E51" s="230" t="s">
        <v>927</v>
      </c>
      <c r="F51" s="222"/>
      <c r="G51" s="352"/>
      <c r="I51" s="227"/>
      <c r="J51" s="231"/>
    </row>
    <row r="52" spans="1:10" ht="18">
      <c r="A52" s="351"/>
      <c r="B52" s="223">
        <v>3.3</v>
      </c>
      <c r="C52" s="230" t="s">
        <v>928</v>
      </c>
      <c r="D52" s="223"/>
      <c r="E52" s="230" t="s">
        <v>927</v>
      </c>
      <c r="F52" s="222"/>
      <c r="G52" s="352"/>
      <c r="I52" s="227"/>
      <c r="J52" s="231"/>
    </row>
    <row r="53" spans="1:10" ht="18">
      <c r="A53" s="351"/>
      <c r="B53" s="223">
        <v>0</v>
      </c>
      <c r="C53" s="230" t="s">
        <v>929</v>
      </c>
      <c r="D53" s="223"/>
      <c r="E53" s="223" t="s">
        <v>873</v>
      </c>
      <c r="F53" s="222"/>
      <c r="G53" s="352"/>
      <c r="I53" s="227"/>
      <c r="J53" s="231"/>
    </row>
    <row r="54" spans="1:10" ht="18">
      <c r="A54" s="351"/>
      <c r="B54" s="223">
        <v>0</v>
      </c>
      <c r="C54" s="223" t="s">
        <v>930</v>
      </c>
      <c r="D54" s="223"/>
      <c r="E54" s="223" t="s">
        <v>873</v>
      </c>
      <c r="F54" s="222"/>
      <c r="G54" s="352"/>
      <c r="I54" s="227"/>
      <c r="J54" s="231"/>
    </row>
    <row r="55" spans="1:10" ht="18">
      <c r="A55" s="348"/>
      <c r="B55" s="222">
        <v>0</v>
      </c>
      <c r="C55" s="222" t="s">
        <v>873</v>
      </c>
      <c r="D55" s="222"/>
      <c r="E55" s="222" t="s">
        <v>873</v>
      </c>
      <c r="F55" s="222"/>
      <c r="G55" s="350"/>
      <c r="I55" s="227"/>
      <c r="J55" s="231"/>
    </row>
    <row r="56" spans="1:10" ht="14.25" customHeight="1">
      <c r="A56" s="347" t="s">
        <v>931</v>
      </c>
      <c r="B56" s="232">
        <v>0.9</v>
      </c>
      <c r="C56" s="232" t="s">
        <v>932</v>
      </c>
      <c r="D56" s="232"/>
      <c r="E56" s="232" t="s">
        <v>933</v>
      </c>
      <c r="F56" s="222"/>
      <c r="G56" s="356"/>
      <c r="I56" s="227"/>
      <c r="J56" s="231"/>
    </row>
    <row r="57" spans="1:10" ht="18">
      <c r="A57" s="351"/>
      <c r="B57" s="232">
        <v>0.9</v>
      </c>
      <c r="C57" s="232" t="s">
        <v>934</v>
      </c>
      <c r="D57" s="232"/>
      <c r="E57" s="232" t="s">
        <v>935</v>
      </c>
      <c r="F57" s="222"/>
      <c r="G57" s="357"/>
      <c r="I57" s="227"/>
      <c r="J57" s="228"/>
    </row>
    <row r="58" spans="1:10" ht="18">
      <c r="A58" s="351"/>
      <c r="B58" s="232">
        <v>1.8</v>
      </c>
      <c r="C58" s="232" t="s">
        <v>936</v>
      </c>
      <c r="D58" s="232"/>
      <c r="E58" s="232" t="s">
        <v>937</v>
      </c>
      <c r="F58" s="222"/>
      <c r="G58" s="357"/>
      <c r="I58" s="227"/>
      <c r="J58" s="228"/>
    </row>
    <row r="59" spans="1:10" ht="18">
      <c r="A59" s="348"/>
      <c r="B59" s="223">
        <v>0</v>
      </c>
      <c r="C59" s="223" t="s">
        <v>938</v>
      </c>
      <c r="D59" s="223"/>
      <c r="E59" s="223" t="s">
        <v>873</v>
      </c>
      <c r="F59" s="222"/>
      <c r="G59" s="358"/>
      <c r="I59" s="227"/>
      <c r="J59" s="228"/>
    </row>
    <row r="60" spans="1:10" ht="18">
      <c r="A60" s="347" t="s">
        <v>939</v>
      </c>
      <c r="B60" s="222">
        <v>1.2</v>
      </c>
      <c r="C60" s="222" t="s">
        <v>940</v>
      </c>
      <c r="D60" s="222">
        <v>1</v>
      </c>
      <c r="E60" s="222" t="s">
        <v>940</v>
      </c>
      <c r="F60" s="222"/>
      <c r="G60" s="349" t="s">
        <v>887</v>
      </c>
      <c r="I60" s="227"/>
      <c r="J60" s="228"/>
    </row>
    <row r="61" spans="1:10" ht="18">
      <c r="A61" s="348"/>
      <c r="B61" s="222">
        <v>0</v>
      </c>
      <c r="C61" s="222" t="s">
        <v>941</v>
      </c>
      <c r="D61" s="222">
        <v>1</v>
      </c>
      <c r="E61" s="222" t="s">
        <v>941</v>
      </c>
      <c r="F61" s="222"/>
      <c r="G61" s="350"/>
      <c r="I61" s="227"/>
      <c r="J61" s="228"/>
    </row>
    <row r="62" spans="1:10" ht="18">
      <c r="A62" s="347" t="s">
        <v>942</v>
      </c>
      <c r="B62" s="222">
        <v>1.8</v>
      </c>
      <c r="C62" s="222" t="s">
        <v>943</v>
      </c>
      <c r="D62" s="222">
        <v>3</v>
      </c>
      <c r="E62" s="222" t="s">
        <v>943</v>
      </c>
      <c r="F62" s="222"/>
      <c r="G62" s="349"/>
      <c r="I62" s="227"/>
      <c r="J62" s="228"/>
    </row>
    <row r="63" spans="1:10" ht="18">
      <c r="A63" s="351"/>
      <c r="B63" s="222">
        <v>0.9</v>
      </c>
      <c r="C63" s="222" t="s">
        <v>944</v>
      </c>
      <c r="D63" s="222">
        <v>3</v>
      </c>
      <c r="E63" s="222" t="s">
        <v>944</v>
      </c>
      <c r="F63" s="222"/>
      <c r="G63" s="352"/>
      <c r="I63" s="227"/>
      <c r="J63" s="231"/>
    </row>
    <row r="64" spans="1:10" ht="18">
      <c r="A64" s="348"/>
      <c r="B64" s="222">
        <v>0</v>
      </c>
      <c r="C64" s="222" t="s">
        <v>945</v>
      </c>
      <c r="D64" s="222">
        <v>3</v>
      </c>
      <c r="E64" s="222" t="s">
        <v>945</v>
      </c>
      <c r="F64" s="222"/>
      <c r="G64" s="350"/>
      <c r="I64" s="227"/>
      <c r="J64" s="231"/>
    </row>
    <row r="65" spans="1:10" ht="18">
      <c r="A65" s="347" t="s">
        <v>946</v>
      </c>
      <c r="B65" s="222">
        <v>1.8</v>
      </c>
      <c r="C65" s="222" t="s">
        <v>947</v>
      </c>
      <c r="D65" s="222">
        <v>1</v>
      </c>
      <c r="E65" s="222" t="s">
        <v>948</v>
      </c>
      <c r="F65" s="222"/>
      <c r="G65" s="349"/>
      <c r="I65" s="227"/>
      <c r="J65" s="228"/>
    </row>
    <row r="66" spans="1:10" ht="18">
      <c r="A66" s="351"/>
      <c r="B66" s="222">
        <v>0.9</v>
      </c>
      <c r="C66" s="222" t="s">
        <v>949</v>
      </c>
      <c r="D66" s="222">
        <v>1</v>
      </c>
      <c r="E66" s="222" t="s">
        <v>950</v>
      </c>
      <c r="F66" s="222"/>
      <c r="G66" s="352"/>
      <c r="I66" s="227"/>
      <c r="J66" s="228"/>
    </row>
    <row r="67" spans="1:10" ht="18">
      <c r="A67" s="348"/>
      <c r="B67" s="222">
        <v>0</v>
      </c>
      <c r="C67" s="222" t="s">
        <v>951</v>
      </c>
      <c r="D67" s="222">
        <v>1</v>
      </c>
      <c r="E67" s="222" t="s">
        <v>952</v>
      </c>
      <c r="F67" s="222"/>
      <c r="G67" s="350"/>
      <c r="I67" s="227"/>
      <c r="J67" s="231"/>
    </row>
    <row r="68" spans="1:10" ht="18">
      <c r="A68" s="347" t="s">
        <v>953</v>
      </c>
      <c r="B68" s="222">
        <v>1.8</v>
      </c>
      <c r="C68" s="222" t="s">
        <v>954</v>
      </c>
      <c r="D68" s="222">
        <v>1</v>
      </c>
      <c r="E68" s="222" t="s">
        <v>954</v>
      </c>
      <c r="F68" s="222"/>
      <c r="G68" s="349"/>
      <c r="I68" s="227"/>
      <c r="J68" s="231"/>
    </row>
    <row r="69" spans="1:10" ht="18">
      <c r="A69" s="348"/>
      <c r="B69" s="223">
        <v>0</v>
      </c>
      <c r="C69" s="223" t="s">
        <v>955</v>
      </c>
      <c r="D69" s="223">
        <v>1</v>
      </c>
      <c r="E69" s="223" t="s">
        <v>873</v>
      </c>
      <c r="F69" s="222"/>
      <c r="G69" s="350"/>
      <c r="I69" s="227"/>
      <c r="J69" s="231"/>
    </row>
    <row r="70" spans="1:10" ht="18">
      <c r="A70" s="232" t="s">
        <v>693</v>
      </c>
      <c r="B70" s="222">
        <v>1.8</v>
      </c>
      <c r="C70" s="222" t="s">
        <v>694</v>
      </c>
      <c r="D70" s="222">
        <v>1</v>
      </c>
      <c r="E70" s="222" t="s">
        <v>694</v>
      </c>
      <c r="F70" s="222"/>
      <c r="G70" s="222" t="s">
        <v>887</v>
      </c>
      <c r="I70" s="227"/>
      <c r="J70" s="231"/>
    </row>
    <row r="71" spans="1:10" ht="18">
      <c r="A71" s="347" t="s">
        <v>695</v>
      </c>
      <c r="B71" s="222">
        <v>1.8</v>
      </c>
      <c r="C71" s="222" t="s">
        <v>696</v>
      </c>
      <c r="D71" s="222"/>
      <c r="E71" s="222" t="s">
        <v>696</v>
      </c>
      <c r="F71" s="222"/>
      <c r="G71" s="349" t="s">
        <v>887</v>
      </c>
      <c r="I71" s="227"/>
      <c r="J71" s="231"/>
    </row>
    <row r="72" spans="1:10" ht="18">
      <c r="A72" s="348"/>
      <c r="B72" s="222">
        <v>0</v>
      </c>
      <c r="C72" s="222" t="s">
        <v>697</v>
      </c>
      <c r="D72" s="222"/>
      <c r="E72" s="222" t="s">
        <v>697</v>
      </c>
      <c r="F72" s="222"/>
      <c r="G72" s="350"/>
      <c r="I72" s="227"/>
      <c r="J72" s="231"/>
    </row>
    <row r="73" spans="1:10" ht="18">
      <c r="I73" s="227"/>
      <c r="J73" s="228"/>
    </row>
    <row r="74" spans="1:10" ht="18">
      <c r="I74" s="227"/>
      <c r="J74" s="228"/>
    </row>
    <row r="75" spans="1:10" ht="18">
      <c r="I75" s="227"/>
      <c r="J75" s="228"/>
    </row>
    <row r="76" spans="1:10" ht="18">
      <c r="I76" s="227"/>
      <c r="J76" s="228"/>
    </row>
    <row r="77" spans="1:10" ht="18">
      <c r="I77" s="227"/>
      <c r="J77" s="231"/>
    </row>
    <row r="78" spans="1:10" ht="18">
      <c r="I78" s="227"/>
      <c r="J78" s="231"/>
    </row>
    <row r="79" spans="1:10" ht="18">
      <c r="I79" s="227"/>
      <c r="J79" s="228"/>
    </row>
    <row r="80" spans="1:10" ht="18">
      <c r="I80" s="227"/>
      <c r="J80" s="228"/>
    </row>
  </sheetData>
  <mergeCells count="22">
    <mergeCell ref="A60:A61"/>
    <mergeCell ref="G60:G61"/>
    <mergeCell ref="A62:A64"/>
    <mergeCell ref="G62:G64"/>
    <mergeCell ref="A30:A47"/>
    <mergeCell ref="G30:G47"/>
    <mergeCell ref="A48:A55"/>
    <mergeCell ref="G48:G55"/>
    <mergeCell ref="A56:A59"/>
    <mergeCell ref="G56:G59"/>
    <mergeCell ref="A5:A11"/>
    <mergeCell ref="G5:G11"/>
    <mergeCell ref="A12:A14"/>
    <mergeCell ref="G12:G14"/>
    <mergeCell ref="A15:A23"/>
    <mergeCell ref="G15:G23"/>
    <mergeCell ref="A65:A67"/>
    <mergeCell ref="G65:G67"/>
    <mergeCell ref="A68:A69"/>
    <mergeCell ref="G68:G69"/>
    <mergeCell ref="A71:A72"/>
    <mergeCell ref="G71:G72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4:B43"/>
  <sheetViews>
    <sheetView workbookViewId="0">
      <selection activeCell="B42" sqref="B42"/>
    </sheetView>
  </sheetViews>
  <sheetFormatPr defaultRowHeight="14.25"/>
  <cols>
    <col min="1" max="1" width="22.125" customWidth="1"/>
    <col min="2" max="2" width="61" customWidth="1"/>
  </cols>
  <sheetData>
    <row r="4" spans="1:2">
      <c r="A4" s="77" t="s">
        <v>105</v>
      </c>
    </row>
    <row r="6" spans="1:2">
      <c r="A6" s="75" t="s">
        <v>107</v>
      </c>
    </row>
    <row r="7" spans="1:2">
      <c r="A7" t="s">
        <v>106</v>
      </c>
      <c r="B7" t="s">
        <v>113</v>
      </c>
    </row>
    <row r="9" spans="1:2">
      <c r="A9" s="74" t="s">
        <v>96</v>
      </c>
    </row>
    <row r="10" spans="1:2">
      <c r="A10" t="s">
        <v>108</v>
      </c>
      <c r="B10" t="s">
        <v>112</v>
      </c>
    </row>
    <row r="11" spans="1:2">
      <c r="A11" t="s">
        <v>109</v>
      </c>
      <c r="B11" t="s">
        <v>111</v>
      </c>
    </row>
    <row r="12" spans="1:2">
      <c r="A12" t="s">
        <v>110</v>
      </c>
      <c r="B12" s="78">
        <v>43239</v>
      </c>
    </row>
    <row r="15" spans="1:2" ht="13.5" customHeight="1">
      <c r="A15" s="74" t="s">
        <v>97</v>
      </c>
    </row>
    <row r="16" spans="1:2">
      <c r="A16" t="s">
        <v>114</v>
      </c>
      <c r="B16" t="s">
        <v>115</v>
      </c>
    </row>
    <row r="17" spans="1:2">
      <c r="A17" t="s">
        <v>116</v>
      </c>
      <c r="B17" t="s">
        <v>117</v>
      </c>
    </row>
    <row r="18" spans="1:2">
      <c r="B18" s="78"/>
    </row>
    <row r="19" spans="1:2" ht="13.5" customHeight="1">
      <c r="A19" s="74" t="s">
        <v>118</v>
      </c>
    </row>
    <row r="20" spans="1:2">
      <c r="A20" t="s">
        <v>119</v>
      </c>
      <c r="B20" t="s">
        <v>123</v>
      </c>
    </row>
    <row r="21" spans="1:2">
      <c r="A21" t="s">
        <v>120</v>
      </c>
      <c r="B21" t="s">
        <v>124</v>
      </c>
    </row>
    <row r="22" spans="1:2">
      <c r="A22" t="s">
        <v>121</v>
      </c>
      <c r="B22" t="s">
        <v>125</v>
      </c>
    </row>
    <row r="23" spans="1:2">
      <c r="A23" t="s">
        <v>122</v>
      </c>
      <c r="B23" t="s">
        <v>125</v>
      </c>
    </row>
    <row r="25" spans="1:2" ht="13.5" customHeight="1">
      <c r="A25" s="74" t="s">
        <v>126</v>
      </c>
    </row>
    <row r="26" spans="1:2">
      <c r="A26" t="s">
        <v>127</v>
      </c>
    </row>
    <row r="27" spans="1:2">
      <c r="A27" t="s">
        <v>128</v>
      </c>
    </row>
    <row r="29" spans="1:2" ht="13.5" customHeight="1">
      <c r="A29" s="74" t="s">
        <v>129</v>
      </c>
    </row>
    <row r="30" spans="1:2">
      <c r="A30" t="s">
        <v>130</v>
      </c>
    </row>
    <row r="31" spans="1:2">
      <c r="A31" t="s">
        <v>131</v>
      </c>
    </row>
    <row r="32" spans="1:2">
      <c r="A32" t="s">
        <v>132</v>
      </c>
    </row>
    <row r="34" spans="1:1">
      <c r="A34" s="74" t="s">
        <v>133</v>
      </c>
    </row>
    <row r="35" spans="1:1">
      <c r="A35" t="s">
        <v>134</v>
      </c>
    </row>
    <row r="36" spans="1:1">
      <c r="A36" t="s">
        <v>135</v>
      </c>
    </row>
    <row r="37" spans="1:1">
      <c r="A37" t="s">
        <v>136</v>
      </c>
    </row>
    <row r="39" spans="1:1">
      <c r="A39" s="74" t="s">
        <v>137</v>
      </c>
    </row>
    <row r="40" spans="1:1">
      <c r="A40" t="s">
        <v>138</v>
      </c>
    </row>
    <row r="41" spans="1:1">
      <c r="A41" t="s">
        <v>139</v>
      </c>
    </row>
    <row r="43" spans="1:1">
      <c r="A43" t="s">
        <v>140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&amp;L&amp;D&amp;C海思机密，未经许可不得扩散&amp;R第&amp;P页，共&amp;N页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F11:AJ112"/>
  <sheetViews>
    <sheetView topLeftCell="F13" zoomScale="70" zoomScaleNormal="70" workbookViewId="0">
      <selection activeCell="W109" sqref="W109"/>
    </sheetView>
  </sheetViews>
  <sheetFormatPr defaultRowHeight="14.25"/>
  <cols>
    <col min="7" max="7" width="4.25" bestFit="1" customWidth="1"/>
    <col min="8" max="8" width="6.375" bestFit="1" customWidth="1"/>
    <col min="9" max="9" width="4.75" bestFit="1" customWidth="1"/>
    <col min="10" max="10" width="8.25" customWidth="1"/>
    <col min="11" max="11" width="12" customWidth="1"/>
    <col min="12" max="12" width="17.5" customWidth="1"/>
    <col min="13" max="13" width="16.75" customWidth="1"/>
    <col min="15" max="15" width="7.625" customWidth="1"/>
    <col min="16" max="16" width="7.75" customWidth="1"/>
    <col min="17" max="17" width="11" customWidth="1"/>
    <col min="18" max="18" width="8.5" customWidth="1"/>
    <col min="19" max="19" width="8.375" customWidth="1"/>
    <col min="20" max="20" width="15.875" customWidth="1"/>
    <col min="21" max="21" width="11.375" customWidth="1"/>
    <col min="22" max="22" width="8.5" customWidth="1"/>
    <col min="23" max="23" width="8.625" customWidth="1"/>
    <col min="24" max="24" width="9.75" customWidth="1"/>
    <col min="25" max="25" width="11.125" style="125" customWidth="1"/>
    <col min="26" max="26" width="4" customWidth="1"/>
    <col min="28" max="28" width="17.125" customWidth="1"/>
    <col min="29" max="29" width="15.375" customWidth="1"/>
    <col min="30" max="30" width="12" customWidth="1"/>
    <col min="31" max="31" width="11.875" customWidth="1"/>
    <col min="32" max="32" width="11.875" style="188" customWidth="1"/>
  </cols>
  <sheetData>
    <row r="11" spans="6:36">
      <c r="F11" s="47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9"/>
    </row>
    <row r="12" spans="6:36" ht="14.25" customHeight="1">
      <c r="F12" s="50"/>
      <c r="I12" s="51"/>
      <c r="J12" s="51"/>
      <c r="K12" s="51"/>
      <c r="L12" s="51"/>
      <c r="M12" s="51"/>
      <c r="N12" s="51"/>
      <c r="O12" s="51"/>
      <c r="R12" s="158"/>
      <c r="S12" s="158"/>
      <c r="T12" s="158"/>
      <c r="U12" s="51"/>
      <c r="V12" s="51"/>
      <c r="W12" s="51"/>
      <c r="X12" s="51"/>
      <c r="Y12" s="124"/>
      <c r="Z12" s="51"/>
      <c r="AA12" s="51"/>
      <c r="AB12" s="51"/>
      <c r="AC12" s="51"/>
      <c r="AD12" s="51"/>
      <c r="AE12" s="51"/>
      <c r="AF12" s="189"/>
      <c r="AG12" s="51"/>
      <c r="AH12" s="51"/>
      <c r="AI12" s="51"/>
      <c r="AJ12" s="52"/>
    </row>
    <row r="13" spans="6:36">
      <c r="F13" s="50"/>
      <c r="G13" s="51"/>
      <c r="H13" s="51"/>
      <c r="I13" s="51"/>
      <c r="J13" s="51"/>
      <c r="K13" s="51"/>
      <c r="L13" s="51"/>
      <c r="M13" s="51"/>
      <c r="N13" s="51"/>
      <c r="O13" s="51"/>
      <c r="R13" s="158"/>
      <c r="S13" s="158"/>
      <c r="T13" s="158"/>
      <c r="U13" s="51"/>
      <c r="V13" s="53"/>
      <c r="W13" s="51"/>
      <c r="X13" s="51"/>
      <c r="Y13" s="124"/>
      <c r="Z13" s="51"/>
      <c r="AA13" s="51"/>
      <c r="AB13" s="51"/>
      <c r="AC13" s="51"/>
      <c r="AD13" s="51"/>
      <c r="AE13" s="51"/>
      <c r="AF13" s="189"/>
      <c r="AG13" s="51"/>
      <c r="AH13" s="51"/>
      <c r="AI13" s="51"/>
      <c r="AJ13" s="52"/>
    </row>
    <row r="14" spans="6:36" ht="14.25" customHeight="1">
      <c r="F14" s="50"/>
      <c r="G14" s="51"/>
      <c r="H14" s="51"/>
      <c r="I14" s="51"/>
      <c r="J14" s="51"/>
      <c r="K14" s="51"/>
      <c r="L14" s="51"/>
      <c r="M14" s="51"/>
      <c r="N14" s="51"/>
      <c r="O14" s="51"/>
      <c r="R14" s="158"/>
      <c r="S14" s="158"/>
      <c r="T14" s="158"/>
      <c r="U14" s="51"/>
      <c r="V14" s="51"/>
      <c r="W14" s="51"/>
      <c r="X14" s="51"/>
      <c r="Y14" s="124"/>
      <c r="Z14" s="51"/>
      <c r="AA14" s="51"/>
      <c r="AB14" s="51"/>
      <c r="AC14" s="51"/>
      <c r="AD14" s="51"/>
      <c r="AE14" s="51"/>
      <c r="AF14" s="189"/>
      <c r="AG14" s="51"/>
      <c r="AH14" s="51"/>
      <c r="AI14" s="51"/>
      <c r="AJ14" s="52"/>
    </row>
    <row r="15" spans="6:36">
      <c r="F15" s="50"/>
      <c r="G15" s="51"/>
      <c r="H15" s="51"/>
      <c r="I15" s="51"/>
      <c r="J15" s="51"/>
      <c r="K15" s="51"/>
      <c r="L15" s="51"/>
      <c r="M15" s="51"/>
      <c r="N15" s="51"/>
      <c r="O15" s="51"/>
      <c r="R15" s="51"/>
      <c r="S15" s="51"/>
      <c r="T15" s="51"/>
      <c r="U15" s="124"/>
      <c r="V15" s="51"/>
      <c r="W15" s="51"/>
      <c r="X15" s="51"/>
      <c r="Y15" s="124"/>
      <c r="Z15" s="51"/>
      <c r="AA15" s="51"/>
      <c r="AB15" s="51"/>
      <c r="AC15" s="51"/>
      <c r="AD15" s="51"/>
      <c r="AE15" s="51"/>
      <c r="AF15" s="189"/>
      <c r="AG15" s="51"/>
      <c r="AH15" s="51"/>
      <c r="AI15" s="51"/>
      <c r="AJ15" s="52"/>
    </row>
    <row r="16" spans="6:36">
      <c r="F16" s="50"/>
      <c r="G16" s="51"/>
      <c r="H16" s="51"/>
      <c r="I16" s="51"/>
      <c r="J16" s="51"/>
      <c r="K16" s="51"/>
      <c r="L16" s="51"/>
      <c r="M16" s="51"/>
      <c r="N16" s="51"/>
      <c r="O16" s="51"/>
      <c r="R16" s="51"/>
      <c r="S16" s="51"/>
      <c r="T16" s="51"/>
      <c r="U16" s="124"/>
      <c r="V16" s="51"/>
      <c r="W16" s="51"/>
      <c r="X16" s="51"/>
      <c r="Y16" s="124"/>
      <c r="Z16" s="51"/>
      <c r="AA16" s="51"/>
      <c r="AB16" s="51"/>
      <c r="AC16" s="51"/>
      <c r="AD16" s="51"/>
      <c r="AE16" s="51"/>
      <c r="AF16" s="189"/>
      <c r="AG16" s="51"/>
      <c r="AH16" s="51"/>
      <c r="AI16" s="51"/>
      <c r="AJ16" s="52"/>
    </row>
    <row r="17" spans="6:36">
      <c r="F17" s="50"/>
      <c r="G17" s="51"/>
      <c r="H17" s="51"/>
      <c r="I17" s="51"/>
      <c r="J17" s="51"/>
      <c r="N17" s="51"/>
      <c r="O17" s="374" t="s">
        <v>574</v>
      </c>
      <c r="P17" s="375"/>
      <c r="Q17" s="361" t="s">
        <v>638</v>
      </c>
      <c r="R17" s="362"/>
      <c r="S17" s="362"/>
      <c r="T17" s="363"/>
      <c r="U17" s="368" t="s">
        <v>529</v>
      </c>
      <c r="V17" s="369"/>
      <c r="W17" s="370"/>
      <c r="X17" s="370"/>
      <c r="Y17" s="370"/>
      <c r="Z17" s="371"/>
      <c r="AA17" s="51"/>
      <c r="AC17" s="204"/>
      <c r="AD17" s="203"/>
      <c r="AE17" s="203"/>
      <c r="AF17" s="189"/>
      <c r="AG17" s="51"/>
      <c r="AH17" s="51"/>
      <c r="AI17" s="51"/>
      <c r="AJ17" s="52"/>
    </row>
    <row r="18" spans="6:36">
      <c r="F18" s="50"/>
      <c r="G18" s="51"/>
      <c r="H18" s="51"/>
      <c r="I18" s="51"/>
      <c r="J18" s="51"/>
      <c r="N18" s="51"/>
      <c r="O18" s="374" t="s">
        <v>173</v>
      </c>
      <c r="P18" s="375"/>
      <c r="Q18" s="361" t="s">
        <v>639</v>
      </c>
      <c r="R18" s="362"/>
      <c r="S18" s="362"/>
      <c r="T18" s="363"/>
      <c r="U18" s="377" t="s">
        <v>585</v>
      </c>
      <c r="V18" s="378"/>
      <c r="W18" s="378" t="s">
        <v>163</v>
      </c>
      <c r="X18" s="378"/>
      <c r="Y18" s="378"/>
      <c r="Z18" s="379"/>
      <c r="AA18" s="51"/>
      <c r="AC18" s="204"/>
      <c r="AD18" s="203"/>
      <c r="AE18" s="203"/>
      <c r="AF18" s="189"/>
      <c r="AG18" s="51"/>
      <c r="AH18" s="51"/>
      <c r="AI18" s="51"/>
      <c r="AJ18" s="52"/>
    </row>
    <row r="19" spans="6:36">
      <c r="F19" s="50"/>
      <c r="G19" s="51"/>
      <c r="H19" s="51"/>
      <c r="I19" s="51"/>
      <c r="J19" s="51"/>
      <c r="N19" s="51"/>
      <c r="O19" s="374">
        <v>22</v>
      </c>
      <c r="P19" s="375"/>
      <c r="Q19" s="361">
        <v>6</v>
      </c>
      <c r="R19" s="362"/>
      <c r="S19" s="362"/>
      <c r="T19" s="363"/>
      <c r="U19" s="368">
        <v>32</v>
      </c>
      <c r="V19" s="369"/>
      <c r="W19" s="369"/>
      <c r="X19" s="369"/>
      <c r="Y19" s="369"/>
      <c r="Z19" s="372"/>
      <c r="AA19" s="51"/>
      <c r="AC19" s="204"/>
      <c r="AD19" s="203"/>
      <c r="AE19" s="203"/>
      <c r="AF19" s="189"/>
      <c r="AG19" s="51"/>
      <c r="AH19" s="51"/>
      <c r="AI19" s="51"/>
      <c r="AJ19" s="52"/>
    </row>
    <row r="20" spans="6:36" s="188" customFormat="1">
      <c r="F20" s="50"/>
      <c r="G20" s="189"/>
      <c r="H20" s="189"/>
      <c r="I20" s="189"/>
      <c r="J20" s="189"/>
      <c r="N20" s="189"/>
      <c r="O20" s="374"/>
      <c r="P20" s="375"/>
      <c r="Q20" s="361" t="s">
        <v>640</v>
      </c>
      <c r="R20" s="362"/>
      <c r="S20" s="362"/>
      <c r="T20" s="363"/>
      <c r="U20" s="368"/>
      <c r="V20" s="369"/>
      <c r="W20" s="369"/>
      <c r="X20" s="369"/>
      <c r="Y20" s="369"/>
      <c r="Z20" s="372"/>
      <c r="AA20" s="189"/>
      <c r="AC20" s="204"/>
      <c r="AD20" s="203"/>
      <c r="AE20" s="203"/>
      <c r="AF20" s="189"/>
      <c r="AG20" s="189"/>
      <c r="AH20" s="189"/>
      <c r="AI20" s="189"/>
      <c r="AJ20" s="52"/>
    </row>
    <row r="21" spans="6:36" ht="14.25" customHeight="1">
      <c r="F21" s="50"/>
      <c r="G21" s="51"/>
      <c r="H21" s="51"/>
      <c r="I21" s="51"/>
      <c r="J21" s="51"/>
      <c r="N21" s="51"/>
      <c r="O21" s="374"/>
      <c r="P21" s="375"/>
      <c r="Q21" s="361" t="s">
        <v>641</v>
      </c>
      <c r="R21" s="362"/>
      <c r="S21" s="362"/>
      <c r="T21" s="363"/>
      <c r="U21" s="368"/>
      <c r="V21" s="369"/>
      <c r="W21" s="370"/>
      <c r="X21" s="370"/>
      <c r="Y21" s="370"/>
      <c r="Z21" s="371"/>
      <c r="AA21" s="51"/>
      <c r="AC21" s="204"/>
      <c r="AD21" s="203"/>
      <c r="AE21" s="203"/>
      <c r="AF21" s="189"/>
      <c r="AG21" s="51"/>
      <c r="AH21" s="51"/>
      <c r="AI21" s="51"/>
      <c r="AJ21" s="52"/>
    </row>
    <row r="22" spans="6:36">
      <c r="F22" s="50"/>
      <c r="G22" s="51"/>
      <c r="H22" s="51"/>
      <c r="I22" s="51"/>
      <c r="J22" s="51"/>
      <c r="N22" s="51"/>
      <c r="O22" s="374"/>
      <c r="P22" s="375"/>
      <c r="Q22" s="361" t="s">
        <v>642</v>
      </c>
      <c r="R22" s="362"/>
      <c r="S22" s="362"/>
      <c r="T22" s="363"/>
      <c r="U22" s="368"/>
      <c r="V22" s="369"/>
      <c r="W22" s="370"/>
      <c r="X22" s="370"/>
      <c r="Y22" s="370"/>
      <c r="Z22" s="371"/>
      <c r="AA22" s="51"/>
      <c r="AC22" s="204"/>
      <c r="AD22" s="203"/>
      <c r="AE22" s="203"/>
      <c r="AF22" s="189"/>
      <c r="AG22" s="51"/>
      <c r="AH22" s="51"/>
      <c r="AI22" s="51"/>
      <c r="AJ22" s="52"/>
    </row>
    <row r="23" spans="6:36">
      <c r="F23" s="50"/>
      <c r="G23" s="51"/>
      <c r="H23" s="51"/>
      <c r="I23" s="51"/>
      <c r="J23" s="51"/>
      <c r="N23" s="51"/>
      <c r="O23" s="374" t="s">
        <v>578</v>
      </c>
      <c r="P23" s="375"/>
      <c r="Q23" s="361" t="s">
        <v>643</v>
      </c>
      <c r="R23" s="362"/>
      <c r="S23" s="362"/>
      <c r="T23" s="363"/>
      <c r="U23" s="368"/>
      <c r="V23" s="369"/>
      <c r="W23" s="370"/>
      <c r="X23" s="370"/>
      <c r="Y23" s="370"/>
      <c r="Z23" s="371" t="s">
        <v>175</v>
      </c>
      <c r="AA23" s="51"/>
      <c r="AC23" s="204"/>
      <c r="AD23" s="203"/>
      <c r="AE23" s="203"/>
      <c r="AF23" s="189"/>
      <c r="AG23" s="51"/>
      <c r="AH23" s="51"/>
      <c r="AI23" s="51"/>
      <c r="AJ23" s="52"/>
    </row>
    <row r="24" spans="6:36">
      <c r="F24" s="50"/>
      <c r="G24" s="51"/>
      <c r="H24" s="51"/>
      <c r="I24" s="51"/>
      <c r="J24" s="51"/>
      <c r="N24" s="51"/>
      <c r="O24" s="374" t="s">
        <v>575</v>
      </c>
      <c r="P24" s="375"/>
      <c r="Q24" s="361" t="s">
        <v>616</v>
      </c>
      <c r="R24" s="362"/>
      <c r="S24" s="362"/>
      <c r="T24" s="363"/>
      <c r="U24" s="368" t="s">
        <v>529</v>
      </c>
      <c r="V24" s="369"/>
      <c r="W24" s="370" t="s">
        <v>405</v>
      </c>
      <c r="X24" s="370"/>
      <c r="Y24" s="370"/>
      <c r="Z24" s="371" t="s">
        <v>424</v>
      </c>
      <c r="AA24" s="51"/>
      <c r="AC24" s="204"/>
      <c r="AD24" s="203"/>
      <c r="AE24" s="203"/>
      <c r="AF24" s="189"/>
      <c r="AG24" s="51"/>
      <c r="AH24" s="51"/>
      <c r="AI24" s="51"/>
      <c r="AJ24" s="52"/>
    </row>
    <row r="25" spans="6:36">
      <c r="F25" s="50"/>
      <c r="G25" s="45" t="s">
        <v>164</v>
      </c>
      <c r="H25" s="45" t="s">
        <v>165</v>
      </c>
      <c r="I25" s="46" t="s">
        <v>166</v>
      </c>
      <c r="J25" s="46" t="s">
        <v>167</v>
      </c>
      <c r="K25" s="46" t="s">
        <v>168</v>
      </c>
      <c r="L25" s="46" t="s">
        <v>169</v>
      </c>
      <c r="M25" s="46" t="s">
        <v>170</v>
      </c>
      <c r="N25" s="51"/>
      <c r="O25" s="376" t="s">
        <v>47</v>
      </c>
      <c r="P25" s="376"/>
      <c r="Q25" s="376"/>
      <c r="R25" s="376"/>
      <c r="S25" s="376"/>
      <c r="T25" s="376"/>
      <c r="U25" s="376"/>
      <c r="V25" s="376"/>
      <c r="W25" s="376"/>
      <c r="X25" s="376"/>
      <c r="Y25" s="376"/>
      <c r="Z25" s="376"/>
      <c r="AA25" s="51"/>
      <c r="AB25" s="51"/>
      <c r="AC25" s="51"/>
      <c r="AD25" s="51"/>
      <c r="AE25" s="51"/>
      <c r="AF25" s="189"/>
      <c r="AG25" s="51"/>
      <c r="AH25" s="51"/>
      <c r="AI25" s="51"/>
      <c r="AJ25" s="52"/>
    </row>
    <row r="26" spans="6:36" ht="14.25" customHeight="1">
      <c r="F26" s="50"/>
      <c r="G26" s="389" t="s">
        <v>573</v>
      </c>
      <c r="H26" s="380" t="s">
        <v>177</v>
      </c>
      <c r="I26" s="380">
        <v>62</v>
      </c>
      <c r="J26" s="179"/>
      <c r="K26" s="179"/>
      <c r="L26" s="179"/>
      <c r="M26" s="392" t="s">
        <v>179</v>
      </c>
      <c r="N26" s="395" t="s">
        <v>171</v>
      </c>
      <c r="O26" s="51"/>
      <c r="P26" s="51"/>
      <c r="Q26" s="51"/>
      <c r="R26" s="51"/>
      <c r="S26" s="51"/>
      <c r="T26" s="53">
        <f>SUM(O19:Z19)</f>
        <v>60</v>
      </c>
      <c r="U26" s="51"/>
      <c r="V26" s="51"/>
      <c r="W26" s="51"/>
      <c r="X26" s="51"/>
      <c r="Y26" s="124"/>
      <c r="Z26" s="51"/>
      <c r="AA26" s="395" t="s">
        <v>172</v>
      </c>
      <c r="AB26" s="367" t="s">
        <v>174</v>
      </c>
      <c r="AC26" s="367" t="s">
        <v>622</v>
      </c>
      <c r="AD26" s="367" t="s">
        <v>614</v>
      </c>
      <c r="AE26" s="367" t="s">
        <v>615</v>
      </c>
      <c r="AF26" s="367"/>
      <c r="AG26" s="367">
        <v>6</v>
      </c>
      <c r="AH26" s="367" t="s">
        <v>608</v>
      </c>
      <c r="AI26" s="367" t="s">
        <v>609</v>
      </c>
      <c r="AJ26" s="55"/>
    </row>
    <row r="27" spans="6:36">
      <c r="F27" s="50"/>
      <c r="G27" s="390"/>
      <c r="H27" s="381"/>
      <c r="I27" s="381"/>
      <c r="J27" s="179"/>
      <c r="K27" s="179"/>
      <c r="L27" s="179"/>
      <c r="M27" s="393"/>
      <c r="N27" s="395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124"/>
      <c r="Z27" s="51"/>
      <c r="AA27" s="395"/>
      <c r="AB27" s="367"/>
      <c r="AC27" s="367"/>
      <c r="AD27" s="367"/>
      <c r="AE27" s="367"/>
      <c r="AF27" s="367"/>
      <c r="AG27" s="367"/>
      <c r="AH27" s="367" t="s">
        <v>173</v>
      </c>
      <c r="AI27" s="367" t="s">
        <v>180</v>
      </c>
      <c r="AJ27" s="55"/>
    </row>
    <row r="28" spans="6:36">
      <c r="F28" s="50"/>
      <c r="G28" s="390"/>
      <c r="H28" s="381"/>
      <c r="I28" s="381"/>
      <c r="J28" s="179"/>
      <c r="K28" s="179"/>
      <c r="L28" s="179"/>
      <c r="M28" s="393"/>
      <c r="N28" s="395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124"/>
      <c r="Z28" s="51"/>
      <c r="AA28" s="395"/>
      <c r="AB28" s="367"/>
      <c r="AC28" s="367"/>
      <c r="AD28" s="367"/>
      <c r="AE28" s="367"/>
      <c r="AF28" s="367"/>
      <c r="AG28" s="367"/>
      <c r="AH28" s="367"/>
      <c r="AI28" s="367"/>
      <c r="AJ28" s="55"/>
    </row>
    <row r="29" spans="6:36">
      <c r="F29" s="50"/>
      <c r="G29" s="390"/>
      <c r="H29" s="381"/>
      <c r="I29" s="381"/>
      <c r="J29" s="179"/>
      <c r="K29" s="179"/>
      <c r="L29" s="179"/>
      <c r="M29" s="393"/>
      <c r="N29" s="395"/>
      <c r="O29" s="51"/>
      <c r="P29" s="51"/>
      <c r="Q29" s="51"/>
      <c r="R29" s="51"/>
      <c r="S29" s="51"/>
      <c r="T29" s="181"/>
      <c r="U29" s="181"/>
      <c r="V29" s="51"/>
      <c r="W29" s="51"/>
      <c r="X29" s="51"/>
      <c r="Y29" s="124"/>
      <c r="Z29" s="51"/>
      <c r="AA29" s="395"/>
      <c r="AB29" s="367"/>
      <c r="AC29" s="367"/>
      <c r="AD29" s="367"/>
      <c r="AE29" s="367"/>
      <c r="AF29" s="367"/>
      <c r="AG29" s="367"/>
      <c r="AH29" s="367"/>
      <c r="AI29" s="367"/>
      <c r="AJ29" s="55"/>
    </row>
    <row r="30" spans="6:36" ht="14.25" customHeight="1">
      <c r="F30" s="50"/>
      <c r="G30" s="390"/>
      <c r="H30" s="381"/>
      <c r="I30" s="381"/>
      <c r="J30" s="179"/>
      <c r="K30" s="179"/>
      <c r="L30" s="179"/>
      <c r="M30" s="393"/>
      <c r="N30" s="395"/>
      <c r="O30" s="51"/>
      <c r="P30" s="51"/>
      <c r="Q30" s="51"/>
      <c r="R30" s="51"/>
      <c r="S30" s="51"/>
      <c r="T30" s="181"/>
      <c r="U30" s="181"/>
      <c r="V30" s="51"/>
      <c r="W30" s="51"/>
      <c r="X30" s="51"/>
      <c r="Y30" s="124"/>
      <c r="Z30" s="51"/>
      <c r="AA30" s="395"/>
      <c r="AB30" s="367"/>
      <c r="AC30" s="367"/>
      <c r="AD30" s="367"/>
      <c r="AE30" s="367"/>
      <c r="AF30" s="367"/>
      <c r="AG30" s="367"/>
      <c r="AH30" s="367"/>
      <c r="AI30" s="367"/>
      <c r="AJ30" s="52"/>
    </row>
    <row r="31" spans="6:36">
      <c r="F31" s="50"/>
      <c r="G31" s="390"/>
      <c r="H31" s="381"/>
      <c r="I31" s="381"/>
      <c r="J31" s="179"/>
      <c r="K31" s="179"/>
      <c r="L31" s="179"/>
      <c r="M31" s="393"/>
      <c r="N31" s="395"/>
      <c r="O31" s="51"/>
      <c r="P31" s="51"/>
      <c r="Q31" s="51"/>
      <c r="R31" s="51"/>
      <c r="S31" s="51"/>
      <c r="T31" s="184"/>
      <c r="U31" s="51"/>
      <c r="V31" s="51"/>
      <c r="W31" s="51"/>
      <c r="X31" s="51"/>
      <c r="Y31" s="124"/>
      <c r="Z31" s="51"/>
      <c r="AA31" s="395"/>
      <c r="AB31" s="367"/>
      <c r="AC31" s="367"/>
      <c r="AD31" s="367"/>
      <c r="AE31" s="367"/>
      <c r="AF31" s="367"/>
      <c r="AG31" s="367"/>
      <c r="AH31" s="367"/>
      <c r="AI31" s="367"/>
      <c r="AJ31" s="52"/>
    </row>
    <row r="32" spans="6:36" ht="14.25" customHeight="1">
      <c r="F32" s="50"/>
      <c r="G32" s="390"/>
      <c r="H32" s="381"/>
      <c r="I32" s="381"/>
      <c r="J32" s="179"/>
      <c r="K32" s="179"/>
      <c r="L32" s="179"/>
      <c r="M32" s="393"/>
      <c r="N32" s="395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124"/>
      <c r="Z32" s="51"/>
      <c r="AA32" s="395"/>
      <c r="AB32" s="364" t="s">
        <v>604</v>
      </c>
      <c r="AC32" s="364" t="s">
        <v>645</v>
      </c>
      <c r="AD32" s="364"/>
      <c r="AE32" s="364"/>
      <c r="AF32" s="364"/>
      <c r="AG32" s="364">
        <v>28</v>
      </c>
      <c r="AH32" s="364" t="s">
        <v>646</v>
      </c>
      <c r="AI32" s="364" t="s">
        <v>638</v>
      </c>
      <c r="AJ32" s="52"/>
    </row>
    <row r="33" spans="6:36">
      <c r="F33" s="50"/>
      <c r="G33" s="390"/>
      <c r="H33" s="381"/>
      <c r="I33" s="381"/>
      <c r="J33" s="179"/>
      <c r="K33" s="179"/>
      <c r="L33" s="179"/>
      <c r="M33" s="393"/>
      <c r="N33" s="395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124"/>
      <c r="Z33" s="51"/>
      <c r="AA33" s="395"/>
      <c r="AB33" s="365"/>
      <c r="AC33" s="365"/>
      <c r="AD33" s="365"/>
      <c r="AE33" s="365"/>
      <c r="AF33" s="365"/>
      <c r="AG33" s="365"/>
      <c r="AH33" s="365" t="s">
        <v>644</v>
      </c>
      <c r="AI33" s="365" t="s">
        <v>161</v>
      </c>
      <c r="AJ33" s="52"/>
    </row>
    <row r="34" spans="6:36" ht="14.25" customHeight="1">
      <c r="F34" s="50"/>
      <c r="G34" s="390"/>
      <c r="H34" s="381"/>
      <c r="I34" s="381"/>
      <c r="J34" s="179"/>
      <c r="K34" s="179"/>
      <c r="L34" s="179"/>
      <c r="M34" s="393"/>
      <c r="N34" s="395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124"/>
      <c r="Z34" s="51"/>
      <c r="AA34" s="395"/>
      <c r="AB34" s="365"/>
      <c r="AC34" s="365"/>
      <c r="AD34" s="365"/>
      <c r="AE34" s="365"/>
      <c r="AF34" s="365"/>
      <c r="AG34" s="365"/>
      <c r="AH34" s="365"/>
      <c r="AI34" s="365"/>
      <c r="AJ34" s="52"/>
    </row>
    <row r="35" spans="6:36" ht="12.75" customHeight="1">
      <c r="F35" s="50"/>
      <c r="G35" s="390"/>
      <c r="H35" s="381"/>
      <c r="I35" s="381"/>
      <c r="J35" s="179"/>
      <c r="K35" s="179"/>
      <c r="L35" s="179"/>
      <c r="M35" s="393"/>
      <c r="N35" s="395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124"/>
      <c r="Z35" s="51"/>
      <c r="AA35" s="395"/>
      <c r="AB35" s="365"/>
      <c r="AC35" s="365"/>
      <c r="AD35" s="365"/>
      <c r="AE35" s="365"/>
      <c r="AF35" s="365"/>
      <c r="AG35" s="365"/>
      <c r="AH35" s="365"/>
      <c r="AI35" s="365"/>
      <c r="AJ35" s="52"/>
    </row>
    <row r="36" spans="6:36">
      <c r="F36" s="54"/>
      <c r="G36" s="390"/>
      <c r="H36" s="381"/>
      <c r="I36" s="381"/>
      <c r="J36" s="179"/>
      <c r="K36" s="179"/>
      <c r="L36" s="179"/>
      <c r="M36" s="393"/>
      <c r="N36" s="395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124"/>
      <c r="Z36" s="51"/>
      <c r="AA36" s="395"/>
      <c r="AB36" s="365"/>
      <c r="AC36" s="365"/>
      <c r="AD36" s="365"/>
      <c r="AE36" s="365"/>
      <c r="AF36" s="365"/>
      <c r="AG36" s="365"/>
      <c r="AH36" s="365"/>
      <c r="AI36" s="365"/>
      <c r="AJ36" s="52"/>
    </row>
    <row r="37" spans="6:36" ht="14.25" customHeight="1">
      <c r="F37" s="50"/>
      <c r="G37" s="390"/>
      <c r="H37" s="381"/>
      <c r="I37" s="381"/>
      <c r="J37" s="179"/>
      <c r="K37" s="179"/>
      <c r="L37" s="179"/>
      <c r="M37" s="393"/>
      <c r="N37" s="395"/>
      <c r="O37" s="51"/>
      <c r="T37" s="51"/>
      <c r="U37" s="51"/>
      <c r="V37" s="51"/>
      <c r="W37" s="51"/>
      <c r="X37" s="51"/>
      <c r="Y37" s="124"/>
      <c r="Z37" s="51"/>
      <c r="AA37" s="395"/>
      <c r="AB37" s="365"/>
      <c r="AC37" s="365"/>
      <c r="AD37" s="365"/>
      <c r="AE37" s="365"/>
      <c r="AF37" s="365"/>
      <c r="AG37" s="365"/>
      <c r="AH37" s="365"/>
      <c r="AI37" s="365"/>
      <c r="AJ37" s="55"/>
    </row>
    <row r="38" spans="6:36" ht="14.25" customHeight="1">
      <c r="F38" s="50"/>
      <c r="G38" s="390"/>
      <c r="H38" s="381"/>
      <c r="I38" s="381"/>
      <c r="J38" s="179"/>
      <c r="K38" s="179"/>
      <c r="L38" s="179"/>
      <c r="M38" s="393"/>
      <c r="N38" s="395"/>
      <c r="O38" s="56"/>
      <c r="V38" s="51"/>
      <c r="W38" s="51"/>
      <c r="X38" s="51"/>
      <c r="Y38" s="124"/>
      <c r="Z38" s="51"/>
      <c r="AA38" s="395"/>
      <c r="AB38" s="365"/>
      <c r="AC38" s="365"/>
      <c r="AD38" s="365"/>
      <c r="AE38" s="365"/>
      <c r="AF38" s="365"/>
      <c r="AG38" s="365"/>
      <c r="AH38" s="365"/>
      <c r="AI38" s="365"/>
      <c r="AJ38" s="52"/>
    </row>
    <row r="39" spans="6:36" ht="16.5" customHeight="1">
      <c r="F39" s="50"/>
      <c r="G39" s="390"/>
      <c r="H39" s="381"/>
      <c r="I39" s="381"/>
      <c r="J39" s="179"/>
      <c r="K39" s="179"/>
      <c r="L39" s="179"/>
      <c r="M39" s="393"/>
      <c r="N39" s="395"/>
      <c r="O39" s="51"/>
      <c r="V39" s="51"/>
      <c r="W39" s="51"/>
      <c r="X39" s="51"/>
      <c r="Y39" s="124"/>
      <c r="Z39" s="51"/>
      <c r="AA39" s="395"/>
      <c r="AB39" s="365"/>
      <c r="AC39" s="365"/>
      <c r="AD39" s="365"/>
      <c r="AE39" s="365"/>
      <c r="AF39" s="365"/>
      <c r="AG39" s="365"/>
      <c r="AH39" s="365"/>
      <c r="AI39" s="365"/>
      <c r="AJ39" s="52"/>
    </row>
    <row r="40" spans="6:36" ht="14.25" customHeight="1">
      <c r="F40" s="50"/>
      <c r="G40" s="390"/>
      <c r="H40" s="381"/>
      <c r="I40" s="381"/>
      <c r="J40" s="179"/>
      <c r="K40" s="179"/>
      <c r="L40" s="179"/>
      <c r="M40" s="393"/>
      <c r="N40" s="395"/>
      <c r="O40" s="51"/>
      <c r="V40" s="51"/>
      <c r="W40" s="51"/>
      <c r="X40" s="51"/>
      <c r="Y40" s="124"/>
      <c r="Z40" s="51"/>
      <c r="AA40" s="395"/>
      <c r="AB40" s="365"/>
      <c r="AC40" s="365"/>
      <c r="AD40" s="365"/>
      <c r="AE40" s="365"/>
      <c r="AF40" s="365"/>
      <c r="AG40" s="365"/>
      <c r="AH40" s="365"/>
      <c r="AI40" s="365"/>
      <c r="AJ40" s="52"/>
    </row>
    <row r="41" spans="6:36">
      <c r="F41" s="50"/>
      <c r="G41" s="390"/>
      <c r="H41" s="381"/>
      <c r="I41" s="381"/>
      <c r="J41" s="179"/>
      <c r="K41" s="179"/>
      <c r="L41" s="179"/>
      <c r="M41" s="393"/>
      <c r="N41" s="395"/>
      <c r="O41" s="53">
        <f>SUM(I22:I61)</f>
        <v>62</v>
      </c>
      <c r="Q41" s="183"/>
      <c r="R41" s="183"/>
      <c r="T41" s="84">
        <f>SUM(T26+O41+T59+Z41)</f>
        <v>239</v>
      </c>
      <c r="V41" s="51"/>
      <c r="W41" s="51"/>
      <c r="X41" s="51"/>
      <c r="Y41" s="181"/>
      <c r="Z41" s="51">
        <f>SUM(AG22:AG65)</f>
        <v>67</v>
      </c>
      <c r="AA41" s="395"/>
      <c r="AB41" s="365"/>
      <c r="AC41" s="365"/>
      <c r="AD41" s="365"/>
      <c r="AE41" s="365"/>
      <c r="AF41" s="365"/>
      <c r="AG41" s="365"/>
      <c r="AH41" s="365"/>
      <c r="AI41" s="365"/>
      <c r="AJ41" s="52"/>
    </row>
    <row r="42" spans="6:36">
      <c r="F42" s="50"/>
      <c r="G42" s="390"/>
      <c r="H42" s="381"/>
      <c r="I42" s="381"/>
      <c r="J42" s="179"/>
      <c r="K42" s="179"/>
      <c r="L42" s="179"/>
      <c r="M42" s="393"/>
      <c r="N42" s="395"/>
      <c r="O42" s="51"/>
      <c r="P42" s="51"/>
      <c r="Q42" s="51"/>
      <c r="V42" s="51"/>
      <c r="W42" s="51"/>
      <c r="X42" s="51"/>
      <c r="Y42" s="181"/>
      <c r="Z42" s="51"/>
      <c r="AA42" s="395"/>
      <c r="AB42" s="366"/>
      <c r="AC42" s="366"/>
      <c r="AD42" s="366"/>
      <c r="AE42" s="366"/>
      <c r="AF42" s="366"/>
      <c r="AG42" s="366"/>
      <c r="AH42" s="366"/>
      <c r="AI42" s="366"/>
      <c r="AJ42" s="52"/>
    </row>
    <row r="43" spans="6:36">
      <c r="F43" s="50"/>
      <c r="G43" s="390"/>
      <c r="H43" s="381"/>
      <c r="I43" s="381"/>
      <c r="J43" s="179"/>
      <c r="K43" s="179"/>
      <c r="L43" s="179"/>
      <c r="M43" s="393"/>
      <c r="N43" s="395"/>
      <c r="O43" s="51"/>
      <c r="P43" s="51"/>
      <c r="Q43" s="51"/>
      <c r="V43" s="51"/>
      <c r="W43" s="51"/>
      <c r="X43" s="51"/>
      <c r="Y43" s="124"/>
      <c r="Z43" s="51"/>
      <c r="AA43" s="395"/>
      <c r="AB43" s="367" t="s">
        <v>626</v>
      </c>
      <c r="AC43" s="367"/>
      <c r="AD43" s="367" t="s">
        <v>623</v>
      </c>
      <c r="AE43" s="367"/>
      <c r="AF43" s="367"/>
      <c r="AG43" s="367">
        <v>19</v>
      </c>
      <c r="AH43" s="367" t="s">
        <v>608</v>
      </c>
      <c r="AI43" s="367" t="s">
        <v>609</v>
      </c>
      <c r="AJ43" s="52"/>
    </row>
    <row r="44" spans="6:36">
      <c r="F44" s="50"/>
      <c r="G44" s="390"/>
      <c r="H44" s="381"/>
      <c r="I44" s="381"/>
      <c r="J44" s="179"/>
      <c r="K44" s="179"/>
      <c r="L44" s="179"/>
      <c r="M44" s="393"/>
      <c r="N44" s="395"/>
      <c r="O44" s="51"/>
      <c r="Q44" s="159"/>
      <c r="S44" s="186"/>
      <c r="W44" s="51"/>
      <c r="X44" s="51"/>
      <c r="Y44" s="185"/>
      <c r="Z44" s="51"/>
      <c r="AA44" s="395"/>
      <c r="AB44" s="367"/>
      <c r="AC44" s="367"/>
      <c r="AD44" s="367"/>
      <c r="AE44" s="367"/>
      <c r="AF44" s="367"/>
      <c r="AG44" s="367"/>
      <c r="AH44" s="367"/>
      <c r="AI44" s="367"/>
      <c r="AJ44" s="52"/>
    </row>
    <row r="45" spans="6:36">
      <c r="F45" s="50"/>
      <c r="G45" s="390"/>
      <c r="H45" s="381"/>
      <c r="I45" s="381"/>
      <c r="J45" s="179"/>
      <c r="K45" s="179"/>
      <c r="L45" s="179"/>
      <c r="M45" s="393"/>
      <c r="N45" s="395"/>
      <c r="O45" s="51"/>
      <c r="W45" s="51"/>
      <c r="X45" s="51"/>
      <c r="Y45" s="124"/>
      <c r="Z45" s="51"/>
      <c r="AA45" s="395"/>
      <c r="AB45" s="367"/>
      <c r="AC45" s="367"/>
      <c r="AD45" s="367"/>
      <c r="AE45" s="367"/>
      <c r="AF45" s="367"/>
      <c r="AG45" s="367"/>
      <c r="AH45" s="367"/>
      <c r="AI45" s="367"/>
      <c r="AJ45" s="52"/>
    </row>
    <row r="46" spans="6:36">
      <c r="F46" s="50"/>
      <c r="G46" s="390"/>
      <c r="H46" s="381"/>
      <c r="I46" s="381"/>
      <c r="J46" s="179"/>
      <c r="K46" s="179"/>
      <c r="L46" s="179"/>
      <c r="M46" s="393"/>
      <c r="N46" s="395"/>
      <c r="O46" s="51"/>
      <c r="W46" s="51"/>
      <c r="X46" s="51"/>
      <c r="Y46" s="124"/>
      <c r="Z46" s="51"/>
      <c r="AA46" s="395"/>
      <c r="AB46" s="367"/>
      <c r="AC46" s="367"/>
      <c r="AD46" s="367"/>
      <c r="AE46" s="367"/>
      <c r="AF46" s="367"/>
      <c r="AG46" s="367"/>
      <c r="AH46" s="367"/>
      <c r="AI46" s="367"/>
      <c r="AJ46" s="52"/>
    </row>
    <row r="47" spans="6:36">
      <c r="F47" s="50"/>
      <c r="G47" s="390"/>
      <c r="H47" s="381"/>
      <c r="I47" s="381"/>
      <c r="J47" s="179"/>
      <c r="K47" s="179"/>
      <c r="L47" s="179"/>
      <c r="M47" s="393"/>
      <c r="N47" s="395"/>
      <c r="O47" s="51"/>
      <c r="P47" s="51"/>
      <c r="Q47" s="51"/>
      <c r="R47" s="51"/>
      <c r="S47" s="51"/>
      <c r="T47" s="181"/>
      <c r="U47" s="51"/>
      <c r="V47" s="51"/>
      <c r="W47" s="51"/>
      <c r="X47" s="51"/>
      <c r="Y47" s="124"/>
      <c r="Z47" s="51"/>
      <c r="AA47" s="395"/>
      <c r="AB47" s="367"/>
      <c r="AC47" s="367"/>
      <c r="AD47" s="367"/>
      <c r="AE47" s="367"/>
      <c r="AF47" s="367"/>
      <c r="AG47" s="367"/>
      <c r="AH47" s="367"/>
      <c r="AI47" s="367"/>
      <c r="AJ47" s="52"/>
    </row>
    <row r="48" spans="6:36" ht="14.25" customHeight="1">
      <c r="F48" s="50"/>
      <c r="G48" s="390"/>
      <c r="H48" s="381"/>
      <c r="I48" s="381"/>
      <c r="J48" s="179"/>
      <c r="K48" s="180"/>
      <c r="L48" s="179"/>
      <c r="M48" s="393"/>
      <c r="N48" s="395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124"/>
      <c r="Z48" s="51"/>
      <c r="AA48" s="395"/>
      <c r="AB48" s="373" t="s">
        <v>581</v>
      </c>
      <c r="AC48" s="373" t="s">
        <v>610</v>
      </c>
      <c r="AD48" s="373" t="s">
        <v>611</v>
      </c>
      <c r="AE48" s="373"/>
      <c r="AF48" s="373"/>
      <c r="AG48" s="373">
        <v>8</v>
      </c>
      <c r="AH48" s="373" t="s">
        <v>612</v>
      </c>
      <c r="AI48" s="373" t="s">
        <v>613</v>
      </c>
      <c r="AJ48" s="52"/>
    </row>
    <row r="49" spans="6:36">
      <c r="F49" s="50"/>
      <c r="G49" s="390"/>
      <c r="H49" s="381"/>
      <c r="I49" s="381"/>
      <c r="J49" s="179"/>
      <c r="K49" s="180"/>
      <c r="L49" s="180"/>
      <c r="M49" s="393"/>
      <c r="N49" s="395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124"/>
      <c r="Z49" s="51"/>
      <c r="AA49" s="395"/>
      <c r="AB49" s="373"/>
      <c r="AC49" s="373"/>
      <c r="AD49" s="373"/>
      <c r="AE49" s="373"/>
      <c r="AF49" s="373"/>
      <c r="AG49" s="373"/>
      <c r="AH49" s="373"/>
      <c r="AI49" s="373"/>
      <c r="AJ49" s="52"/>
    </row>
    <row r="50" spans="6:36">
      <c r="F50" s="50"/>
      <c r="G50" s="390"/>
      <c r="H50" s="381"/>
      <c r="I50" s="381"/>
      <c r="J50" s="179"/>
      <c r="K50" s="179"/>
      <c r="L50" s="179"/>
      <c r="M50" s="393"/>
      <c r="N50" s="83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124"/>
      <c r="Z50" s="51"/>
      <c r="AA50" s="83"/>
      <c r="AB50" s="373"/>
      <c r="AC50" s="373"/>
      <c r="AD50" s="373"/>
      <c r="AE50" s="373"/>
      <c r="AF50" s="373"/>
      <c r="AG50" s="373"/>
      <c r="AH50" s="373"/>
      <c r="AI50" s="373"/>
      <c r="AJ50" s="52"/>
    </row>
    <row r="51" spans="6:36">
      <c r="F51" s="50"/>
      <c r="G51" s="390"/>
      <c r="H51" s="381"/>
      <c r="I51" s="381"/>
      <c r="J51" s="179"/>
      <c r="K51" s="179"/>
      <c r="L51" s="180"/>
      <c r="M51" s="393"/>
      <c r="N51" s="83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124"/>
      <c r="Z51" s="51"/>
      <c r="AA51" s="83"/>
      <c r="AB51" s="373"/>
      <c r="AC51" s="373"/>
      <c r="AD51" s="373"/>
      <c r="AE51" s="373"/>
      <c r="AF51" s="373"/>
      <c r="AG51" s="373"/>
      <c r="AH51" s="373"/>
      <c r="AI51" s="373"/>
      <c r="AJ51" s="52"/>
    </row>
    <row r="52" spans="6:36">
      <c r="F52" s="50"/>
      <c r="G52" s="390"/>
      <c r="H52" s="381"/>
      <c r="I52" s="381"/>
      <c r="J52" s="179"/>
      <c r="K52" s="179"/>
      <c r="L52" s="180"/>
      <c r="M52" s="393"/>
      <c r="N52" s="83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124"/>
      <c r="Z52" s="51"/>
      <c r="AA52" s="83"/>
      <c r="AB52" s="373"/>
      <c r="AC52" s="373"/>
      <c r="AD52" s="373"/>
      <c r="AE52" s="373"/>
      <c r="AF52" s="373"/>
      <c r="AG52" s="373"/>
      <c r="AH52" s="373"/>
      <c r="AI52" s="373"/>
      <c r="AJ52" s="52"/>
    </row>
    <row r="53" spans="6:36">
      <c r="F53" s="50"/>
      <c r="G53" s="390"/>
      <c r="H53" s="381"/>
      <c r="I53" s="381"/>
      <c r="J53" s="179"/>
      <c r="K53" s="179"/>
      <c r="L53" s="180"/>
      <c r="M53" s="393"/>
      <c r="N53" s="83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124"/>
      <c r="Z53" s="51"/>
      <c r="AA53" s="83"/>
      <c r="AB53" s="373"/>
      <c r="AC53" s="373"/>
      <c r="AD53" s="373"/>
      <c r="AE53" s="373"/>
      <c r="AF53" s="373"/>
      <c r="AG53" s="373"/>
      <c r="AH53" s="373"/>
      <c r="AI53" s="373"/>
      <c r="AJ53" s="52"/>
    </row>
    <row r="54" spans="6:36">
      <c r="F54" s="50"/>
      <c r="G54" s="390"/>
      <c r="H54" s="381"/>
      <c r="I54" s="381"/>
      <c r="J54" s="179"/>
      <c r="K54" s="179"/>
      <c r="L54" s="180"/>
      <c r="M54" s="393"/>
      <c r="N54" s="83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124"/>
      <c r="Z54" s="51"/>
      <c r="AA54" s="83"/>
      <c r="AB54" s="373"/>
      <c r="AC54" s="373"/>
      <c r="AD54" s="373"/>
      <c r="AE54" s="373"/>
      <c r="AF54" s="373"/>
      <c r="AG54" s="373"/>
      <c r="AH54" s="373"/>
      <c r="AI54" s="373"/>
      <c r="AJ54" s="52"/>
    </row>
    <row r="55" spans="6:36">
      <c r="F55" s="50"/>
      <c r="G55" s="390"/>
      <c r="H55" s="381"/>
      <c r="I55" s="381"/>
      <c r="J55" s="179"/>
      <c r="K55" s="179"/>
      <c r="L55" s="179"/>
      <c r="M55" s="393"/>
      <c r="N55" s="83"/>
      <c r="O55" s="51"/>
      <c r="P55" s="51"/>
      <c r="Q55" s="51"/>
      <c r="R55" s="51"/>
      <c r="S55" s="51"/>
      <c r="T55" s="185"/>
      <c r="U55" s="51"/>
      <c r="V55" s="51"/>
      <c r="W55" s="51"/>
      <c r="X55" s="51"/>
      <c r="Y55" s="124"/>
      <c r="Z55" s="51"/>
      <c r="AA55" s="83"/>
      <c r="AB55" s="367" t="s">
        <v>584</v>
      </c>
      <c r="AC55" s="367"/>
      <c r="AD55" s="367"/>
      <c r="AE55" s="367"/>
      <c r="AF55" s="367"/>
      <c r="AG55" s="367">
        <v>6</v>
      </c>
      <c r="AH55" s="367" t="s">
        <v>608</v>
      </c>
      <c r="AI55" s="367" t="s">
        <v>609</v>
      </c>
      <c r="AJ55" s="52"/>
    </row>
    <row r="56" spans="6:36">
      <c r="F56" s="50"/>
      <c r="G56" s="390"/>
      <c r="H56" s="381"/>
      <c r="I56" s="381"/>
      <c r="J56" s="179"/>
      <c r="K56" s="179"/>
      <c r="L56" s="180"/>
      <c r="M56" s="393"/>
      <c r="N56" s="83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124"/>
      <c r="Z56" s="51"/>
      <c r="AA56" s="83"/>
      <c r="AB56" s="367"/>
      <c r="AC56" s="367"/>
      <c r="AD56" s="367"/>
      <c r="AE56" s="367"/>
      <c r="AF56" s="367"/>
      <c r="AG56" s="367"/>
      <c r="AH56" s="367"/>
      <c r="AI56" s="367"/>
      <c r="AJ56" s="52"/>
    </row>
    <row r="57" spans="6:36">
      <c r="F57" s="50"/>
      <c r="G57" s="390"/>
      <c r="H57" s="381"/>
      <c r="I57" s="381"/>
      <c r="J57" s="179"/>
      <c r="K57" s="179"/>
      <c r="L57" s="180"/>
      <c r="M57" s="393"/>
      <c r="N57" s="83"/>
      <c r="O57" s="51"/>
      <c r="P57" s="51"/>
      <c r="Q57" s="51"/>
      <c r="S57" s="51"/>
      <c r="T57" s="181"/>
      <c r="U57" s="181"/>
      <c r="V57" s="181"/>
      <c r="W57" s="181"/>
      <c r="X57" s="182"/>
      <c r="Y57" s="124"/>
      <c r="Z57" s="51"/>
      <c r="AA57" s="83"/>
      <c r="AB57" s="367"/>
      <c r="AC57" s="367"/>
      <c r="AD57" s="367"/>
      <c r="AE57" s="367"/>
      <c r="AF57" s="367"/>
      <c r="AG57" s="367"/>
      <c r="AH57" s="367"/>
      <c r="AI57" s="367"/>
      <c r="AJ57" s="52"/>
    </row>
    <row r="58" spans="6:36">
      <c r="F58" s="50"/>
      <c r="G58" s="390"/>
      <c r="H58" s="381"/>
      <c r="I58" s="381"/>
      <c r="J58" s="179"/>
      <c r="K58" s="179"/>
      <c r="L58" s="180"/>
      <c r="M58" s="393"/>
      <c r="N58" s="83"/>
      <c r="O58" s="51"/>
      <c r="P58" s="51"/>
      <c r="Q58" s="51"/>
      <c r="S58" s="51"/>
      <c r="T58" s="51"/>
      <c r="U58" s="51"/>
      <c r="V58" s="51"/>
      <c r="W58" s="51"/>
      <c r="X58" s="51"/>
      <c r="Y58" s="124"/>
      <c r="Z58" s="51"/>
      <c r="AA58" s="83"/>
      <c r="AB58" s="367"/>
      <c r="AC58" s="367"/>
      <c r="AD58" s="367"/>
      <c r="AE58" s="367"/>
      <c r="AF58" s="367"/>
      <c r="AG58" s="367"/>
      <c r="AH58" s="367"/>
      <c r="AI58" s="367"/>
      <c r="AJ58" s="52"/>
    </row>
    <row r="59" spans="6:36">
      <c r="F59" s="50"/>
      <c r="G59" s="391"/>
      <c r="H59" s="382"/>
      <c r="I59" s="382"/>
      <c r="J59" s="179"/>
      <c r="K59" s="179"/>
      <c r="L59" s="179"/>
      <c r="M59" s="394"/>
      <c r="N59" s="83"/>
      <c r="O59" s="51"/>
      <c r="P59" s="51"/>
      <c r="Q59" s="51"/>
      <c r="R59" s="51"/>
      <c r="S59" s="51"/>
      <c r="T59" s="53">
        <f>SUM(P65:Z65)</f>
        <v>50</v>
      </c>
      <c r="U59" s="51"/>
      <c r="V59" s="51"/>
      <c r="W59" s="51"/>
      <c r="X59" s="51"/>
      <c r="Y59" s="124"/>
      <c r="Z59" s="51"/>
      <c r="AA59" s="83"/>
      <c r="AB59" s="367"/>
      <c r="AC59" s="367"/>
      <c r="AD59" s="367"/>
      <c r="AE59" s="367"/>
      <c r="AF59" s="367"/>
      <c r="AG59" s="367"/>
      <c r="AH59" s="367"/>
      <c r="AI59" s="367"/>
      <c r="AJ59" s="52"/>
    </row>
    <row r="60" spans="6:36">
      <c r="F60" s="50"/>
      <c r="G60" s="51"/>
      <c r="H60" s="51"/>
      <c r="I60" s="51"/>
      <c r="J60" s="51"/>
      <c r="K60" s="51"/>
      <c r="L60" s="51"/>
      <c r="M60" s="51"/>
      <c r="N60" s="51"/>
      <c r="O60" s="396" t="s">
        <v>176</v>
      </c>
      <c r="P60" s="396"/>
      <c r="Q60" s="396"/>
      <c r="R60" s="396"/>
      <c r="S60" s="396"/>
      <c r="T60" s="396"/>
      <c r="U60" s="396"/>
      <c r="V60" s="396"/>
      <c r="W60" s="396"/>
      <c r="X60" s="396"/>
      <c r="Y60" s="396"/>
      <c r="Z60" s="396"/>
      <c r="AA60" s="51"/>
      <c r="AB60" s="195"/>
      <c r="AC60" s="195"/>
      <c r="AD60" s="195"/>
      <c r="AE60" s="195"/>
      <c r="AF60" s="195"/>
      <c r="AG60" s="195"/>
      <c r="AH60" s="195"/>
      <c r="AI60" s="195"/>
      <c r="AJ60" s="52"/>
    </row>
    <row r="61" spans="6:36" ht="14.25" customHeight="1">
      <c r="F61" s="50"/>
      <c r="G61" s="51"/>
      <c r="H61" s="51"/>
      <c r="I61" s="51"/>
      <c r="J61" s="51"/>
      <c r="K61" s="51"/>
      <c r="L61" s="51"/>
      <c r="M61" s="51"/>
      <c r="N61" s="51"/>
      <c r="P61" s="197" t="s">
        <v>670</v>
      </c>
      <c r="Q61" s="198" t="s">
        <v>582</v>
      </c>
      <c r="R61" s="197" t="s">
        <v>588</v>
      </c>
      <c r="S61" s="198" t="s">
        <v>580</v>
      </c>
      <c r="T61" s="197" t="s">
        <v>671</v>
      </c>
      <c r="U61" s="193" t="s">
        <v>583</v>
      </c>
      <c r="V61" s="200" t="s">
        <v>603</v>
      </c>
      <c r="W61" s="192" t="s">
        <v>577</v>
      </c>
      <c r="X61" s="193" t="s">
        <v>583</v>
      </c>
      <c r="Y61" s="399" t="s">
        <v>576</v>
      </c>
      <c r="Z61" s="400"/>
      <c r="AC61" s="51"/>
      <c r="AD61" s="51"/>
      <c r="AE61" s="51"/>
      <c r="AF61" s="189"/>
      <c r="AG61" s="51"/>
      <c r="AH61" s="51"/>
      <c r="AI61" s="51"/>
      <c r="AJ61" s="52"/>
    </row>
    <row r="62" spans="6:36" s="194" customFormat="1">
      <c r="F62" s="205"/>
      <c r="G62" s="206"/>
      <c r="H62" s="206"/>
      <c r="I62" s="206"/>
      <c r="J62" s="206"/>
      <c r="K62" s="206"/>
      <c r="L62" s="206"/>
      <c r="M62" s="206"/>
      <c r="N62" s="206"/>
      <c r="P62" s="198" t="s">
        <v>588</v>
      </c>
      <c r="Q62" s="198" t="s">
        <v>588</v>
      </c>
      <c r="R62" s="198" t="s">
        <v>617</v>
      </c>
      <c r="S62" s="198" t="s">
        <v>618</v>
      </c>
      <c r="T62" s="198" t="s">
        <v>619</v>
      </c>
      <c r="U62" s="193" t="s">
        <v>587</v>
      </c>
      <c r="V62" s="208"/>
      <c r="W62" s="207"/>
      <c r="X62" s="193" t="s">
        <v>587</v>
      </c>
      <c r="Y62" s="399"/>
      <c r="Z62" s="400"/>
      <c r="AC62" s="206"/>
      <c r="AD62" s="206"/>
      <c r="AE62" s="206"/>
      <c r="AF62" s="206"/>
      <c r="AG62" s="206"/>
      <c r="AH62" s="206"/>
      <c r="AI62" s="206"/>
      <c r="AJ62" s="209"/>
    </row>
    <row r="63" spans="6:36">
      <c r="F63" s="50"/>
      <c r="G63" s="51"/>
      <c r="H63" s="51"/>
      <c r="I63" s="51"/>
      <c r="J63" s="51"/>
      <c r="K63" s="51"/>
      <c r="L63" s="51"/>
      <c r="M63" s="51"/>
      <c r="N63" s="51"/>
      <c r="P63" s="199"/>
      <c r="Q63" s="197"/>
      <c r="R63" s="199"/>
      <c r="S63" s="199"/>
      <c r="T63" s="198" t="s">
        <v>620</v>
      </c>
      <c r="U63" s="193" t="s">
        <v>590</v>
      </c>
      <c r="V63" s="84"/>
      <c r="W63" s="192"/>
      <c r="X63" s="193" t="s">
        <v>590</v>
      </c>
      <c r="Y63" s="399"/>
      <c r="Z63" s="400"/>
      <c r="AC63" s="51"/>
      <c r="AD63" s="51"/>
      <c r="AE63" s="51"/>
      <c r="AF63" s="189"/>
      <c r="AG63" s="51"/>
      <c r="AH63" s="51"/>
      <c r="AI63" s="51"/>
      <c r="AJ63" s="52"/>
    </row>
    <row r="64" spans="6:36" ht="14.25" customHeight="1">
      <c r="F64" s="50"/>
      <c r="G64" s="51"/>
      <c r="H64" s="51"/>
      <c r="I64" s="51"/>
      <c r="J64" s="51"/>
      <c r="K64" s="51"/>
      <c r="L64" s="51"/>
      <c r="M64" s="51"/>
      <c r="N64" s="51"/>
      <c r="P64" s="199"/>
      <c r="Q64" s="198"/>
      <c r="R64" s="199"/>
      <c r="S64" s="198"/>
      <c r="U64" s="193" t="s">
        <v>591</v>
      </c>
      <c r="V64" s="84"/>
      <c r="W64" s="192"/>
      <c r="X64" s="193" t="s">
        <v>591</v>
      </c>
      <c r="Y64" s="399"/>
      <c r="Z64" s="400"/>
      <c r="AC64" s="51"/>
      <c r="AD64" s="51"/>
      <c r="AE64" s="51"/>
      <c r="AF64" s="189"/>
      <c r="AG64" s="51"/>
      <c r="AH64" s="51"/>
      <c r="AI64" s="51"/>
      <c r="AJ64" s="52"/>
    </row>
    <row r="65" spans="6:36">
      <c r="F65" s="50"/>
      <c r="G65" s="51"/>
      <c r="H65" s="51"/>
      <c r="I65" s="51"/>
      <c r="J65" s="51"/>
      <c r="K65" s="51"/>
      <c r="L65" s="51"/>
      <c r="M65" s="51"/>
      <c r="N65" s="51"/>
      <c r="P65" s="199">
        <v>13</v>
      </c>
      <c r="Q65" s="199">
        <v>3</v>
      </c>
      <c r="R65" s="199">
        <v>3</v>
      </c>
      <c r="S65" s="199">
        <v>2</v>
      </c>
      <c r="T65" s="199">
        <v>5</v>
      </c>
      <c r="U65" s="193">
        <v>6</v>
      </c>
      <c r="V65" s="84"/>
      <c r="W65" s="192">
        <v>2</v>
      </c>
      <c r="X65" s="193">
        <v>6</v>
      </c>
      <c r="Y65" s="399">
        <v>10</v>
      </c>
      <c r="Z65" s="400"/>
      <c r="AG65" s="51"/>
      <c r="AH65" s="51"/>
      <c r="AI65" s="51"/>
      <c r="AJ65" s="52"/>
    </row>
    <row r="66" spans="6:36" ht="28.5" customHeight="1">
      <c r="F66" s="50"/>
      <c r="G66" s="51"/>
      <c r="H66" s="51"/>
      <c r="I66" s="51"/>
      <c r="J66" s="51"/>
      <c r="K66" s="51"/>
      <c r="L66" s="51"/>
      <c r="M66" s="51"/>
      <c r="N66" s="51"/>
      <c r="P66" s="197" t="s">
        <v>605</v>
      </c>
      <c r="Q66" s="197" t="s">
        <v>605</v>
      </c>
      <c r="R66" s="197" t="s">
        <v>605</v>
      </c>
      <c r="S66" s="197" t="s">
        <v>605</v>
      </c>
      <c r="T66" s="197" t="s">
        <v>605</v>
      </c>
      <c r="U66" s="193" t="s">
        <v>586</v>
      </c>
      <c r="V66" s="84"/>
      <c r="W66" s="192" t="s">
        <v>162</v>
      </c>
      <c r="X66" s="193" t="s">
        <v>586</v>
      </c>
      <c r="Y66" s="397" t="s">
        <v>636</v>
      </c>
      <c r="Z66" s="398"/>
      <c r="AG66" s="51"/>
      <c r="AH66" s="51"/>
      <c r="AI66" s="51"/>
      <c r="AJ66" s="52"/>
    </row>
    <row r="67" spans="6:36">
      <c r="F67" s="50"/>
      <c r="G67" s="51"/>
      <c r="H67" s="51"/>
      <c r="I67" s="51"/>
      <c r="J67" s="51"/>
      <c r="K67" s="51"/>
      <c r="L67" s="51"/>
      <c r="M67" s="51"/>
      <c r="N67" s="51"/>
      <c r="P67" s="197" t="s">
        <v>606</v>
      </c>
      <c r="Q67" s="197" t="s">
        <v>606</v>
      </c>
      <c r="R67" s="197" t="s">
        <v>606</v>
      </c>
      <c r="S67" s="197" t="s">
        <v>606</v>
      </c>
      <c r="T67" s="197" t="s">
        <v>606</v>
      </c>
      <c r="U67" s="202" t="s">
        <v>607</v>
      </c>
      <c r="V67" s="84"/>
      <c r="W67" s="192" t="s">
        <v>579</v>
      </c>
      <c r="X67" s="202" t="s">
        <v>607</v>
      </c>
      <c r="Y67" s="399" t="s">
        <v>637</v>
      </c>
      <c r="Z67" s="400"/>
      <c r="AG67" s="51"/>
      <c r="AH67" s="51"/>
      <c r="AI67" s="51"/>
      <c r="AJ67" s="52"/>
    </row>
    <row r="68" spans="6:36">
      <c r="F68" s="50"/>
      <c r="G68" s="51"/>
      <c r="H68" s="51"/>
      <c r="I68" s="51"/>
      <c r="J68" s="51"/>
      <c r="K68" s="51"/>
      <c r="L68" s="51"/>
      <c r="M68" s="51"/>
      <c r="N68" s="51"/>
      <c r="O68" s="51"/>
      <c r="P68" s="383" t="s">
        <v>647</v>
      </c>
      <c r="Q68" s="384"/>
      <c r="R68" s="384"/>
      <c r="S68" s="384"/>
      <c r="T68" s="384"/>
      <c r="U68" s="385"/>
      <c r="Z68" s="51"/>
      <c r="AA68" s="51"/>
      <c r="AB68" s="199" t="s">
        <v>634</v>
      </c>
      <c r="AG68" s="51"/>
      <c r="AH68" s="51"/>
      <c r="AI68" s="51"/>
      <c r="AJ68" s="52"/>
    </row>
    <row r="69" spans="6:36">
      <c r="F69" s="50"/>
      <c r="G69" s="51"/>
      <c r="H69" s="51"/>
      <c r="I69" s="51"/>
      <c r="J69" s="51"/>
      <c r="K69" s="51"/>
      <c r="L69" s="51"/>
      <c r="M69" s="51"/>
      <c r="N69" s="51"/>
      <c r="O69" s="53"/>
      <c r="P69" s="386"/>
      <c r="Q69" s="387"/>
      <c r="R69" s="387"/>
      <c r="S69" s="387"/>
      <c r="T69" s="387"/>
      <c r="U69" s="388"/>
      <c r="Z69" s="51"/>
      <c r="AA69" s="51"/>
      <c r="AB69" s="212" t="s">
        <v>633</v>
      </c>
      <c r="AG69" s="51"/>
      <c r="AH69" s="51"/>
      <c r="AI69" s="51"/>
      <c r="AJ69" s="52"/>
    </row>
    <row r="70" spans="6:36" ht="14.25" customHeight="1">
      <c r="F70" s="50"/>
      <c r="G70" s="51"/>
      <c r="H70" s="51"/>
      <c r="I70" s="51"/>
      <c r="J70" s="51"/>
      <c r="K70" s="51"/>
      <c r="L70" s="51"/>
      <c r="M70" s="51"/>
      <c r="N70" s="51"/>
      <c r="Y70" s="211"/>
      <c r="Z70" s="211"/>
      <c r="AA70" s="203"/>
      <c r="AB70" s="199" t="s">
        <v>632</v>
      </c>
      <c r="AG70" s="51"/>
      <c r="AH70" s="51"/>
      <c r="AI70" s="51"/>
      <c r="AJ70" s="52"/>
    </row>
    <row r="71" spans="6:36">
      <c r="P71" s="176" t="s">
        <v>602</v>
      </c>
      <c r="Y71" s="211"/>
      <c r="Z71" s="211"/>
      <c r="AA71" s="203"/>
      <c r="AB71" s="199"/>
    </row>
    <row r="72" spans="6:36">
      <c r="P72" s="190" t="s">
        <v>621</v>
      </c>
      <c r="Y72" s="211"/>
      <c r="Z72" s="211"/>
      <c r="AA72" s="203"/>
      <c r="AB72" s="199">
        <v>2</v>
      </c>
    </row>
    <row r="73" spans="6:36" ht="14.25" customHeight="1">
      <c r="P73" s="191"/>
      <c r="Y73" s="211"/>
      <c r="Z73" s="211"/>
      <c r="AA73" s="203"/>
      <c r="AB73" s="197" t="s">
        <v>635</v>
      </c>
    </row>
    <row r="74" spans="6:36">
      <c r="H74" s="160"/>
      <c r="I74" s="160"/>
      <c r="J74" s="160"/>
      <c r="K74" s="148"/>
      <c r="L74" s="174"/>
      <c r="M74" s="148"/>
      <c r="N74" s="148"/>
      <c r="P74" s="191"/>
      <c r="Y74" s="211"/>
      <c r="Z74" s="211"/>
      <c r="AA74" s="203"/>
      <c r="AB74" s="197" t="s">
        <v>648</v>
      </c>
    </row>
    <row r="75" spans="6:36">
      <c r="H75" s="148"/>
      <c r="I75" s="148"/>
      <c r="J75" s="148"/>
      <c r="N75" s="148"/>
      <c r="P75" s="191">
        <v>6</v>
      </c>
      <c r="Y75" s="211"/>
      <c r="Z75" s="211"/>
      <c r="AA75" s="203"/>
    </row>
    <row r="76" spans="6:36">
      <c r="H76" s="148"/>
      <c r="I76" s="148"/>
      <c r="J76" s="148"/>
      <c r="N76" s="148"/>
      <c r="P76" s="176" t="s">
        <v>605</v>
      </c>
      <c r="Y76" s="211"/>
      <c r="Z76" s="211"/>
      <c r="AA76" s="203"/>
    </row>
    <row r="77" spans="6:36" ht="14.25" customHeight="1">
      <c r="H77" s="148"/>
      <c r="I77" s="148"/>
      <c r="J77" s="148"/>
      <c r="N77" s="148"/>
      <c r="P77" s="176" t="s">
        <v>606</v>
      </c>
      <c r="W77" s="201"/>
    </row>
    <row r="78" spans="6:36">
      <c r="H78" s="148"/>
      <c r="I78" s="148"/>
      <c r="J78" s="148"/>
      <c r="N78" s="148"/>
      <c r="O78" s="148"/>
      <c r="P78" s="148"/>
      <c r="W78" s="201"/>
    </row>
    <row r="79" spans="6:36">
      <c r="H79" s="148"/>
      <c r="I79" s="148"/>
      <c r="J79" s="148"/>
      <c r="K79" s="148"/>
      <c r="L79" s="148"/>
      <c r="M79" s="175"/>
      <c r="N79" s="148"/>
      <c r="O79" s="148"/>
      <c r="P79" s="148"/>
      <c r="W79" s="12"/>
    </row>
    <row r="80" spans="6:36">
      <c r="W80" s="201"/>
    </row>
    <row r="81" spans="23:23">
      <c r="W81" s="201"/>
    </row>
    <row r="108" ht="42.75" customHeight="1"/>
    <row r="112" ht="14.25" customHeight="1"/>
  </sheetData>
  <mergeCells count="80">
    <mergeCell ref="P68:U69"/>
    <mergeCell ref="G26:G59"/>
    <mergeCell ref="M26:M59"/>
    <mergeCell ref="N26:N49"/>
    <mergeCell ref="AA26:AA49"/>
    <mergeCell ref="O60:Z60"/>
    <mergeCell ref="Y66:Z66"/>
    <mergeCell ref="Y67:Z67"/>
    <mergeCell ref="Y61:Z61"/>
    <mergeCell ref="Y62:Z62"/>
    <mergeCell ref="Y63:Z63"/>
    <mergeCell ref="Y64:Z64"/>
    <mergeCell ref="Y65:Z65"/>
    <mergeCell ref="AC26:AC31"/>
    <mergeCell ref="H26:H59"/>
    <mergeCell ref="I26:I59"/>
    <mergeCell ref="AB55:AB59"/>
    <mergeCell ref="AC55:AC59"/>
    <mergeCell ref="AG43:AG47"/>
    <mergeCell ref="AH43:AH47"/>
    <mergeCell ref="AI43:AI47"/>
    <mergeCell ref="AB43:AB47"/>
    <mergeCell ref="AC43:AC47"/>
    <mergeCell ref="AD43:AD47"/>
    <mergeCell ref="AE43:AE47"/>
    <mergeCell ref="AF43:AF47"/>
    <mergeCell ref="O18:P18"/>
    <mergeCell ref="O17:P17"/>
    <mergeCell ref="U17:Z17"/>
    <mergeCell ref="U18:Z18"/>
    <mergeCell ref="U19:Z19"/>
    <mergeCell ref="Q17:T17"/>
    <mergeCell ref="Q18:T18"/>
    <mergeCell ref="Q19:T19"/>
    <mergeCell ref="O22:P22"/>
    <mergeCell ref="AG32:AG42"/>
    <mergeCell ref="AH32:AH42"/>
    <mergeCell ref="Q24:T24"/>
    <mergeCell ref="O19:P19"/>
    <mergeCell ref="O24:P24"/>
    <mergeCell ref="O23:P23"/>
    <mergeCell ref="O20:P20"/>
    <mergeCell ref="O21:P21"/>
    <mergeCell ref="O25:Z25"/>
    <mergeCell ref="AD26:AD31"/>
    <mergeCell ref="AE26:AE31"/>
    <mergeCell ref="AF26:AF31"/>
    <mergeCell ref="AG26:AG31"/>
    <mergeCell ref="U21:Z21"/>
    <mergeCell ref="U22:Z22"/>
    <mergeCell ref="AI55:AI59"/>
    <mergeCell ref="AB48:AB54"/>
    <mergeCell ref="AD48:AD54"/>
    <mergeCell ref="AE48:AE54"/>
    <mergeCell ref="AF48:AF54"/>
    <mergeCell ref="AG48:AG54"/>
    <mergeCell ref="AD55:AD59"/>
    <mergeCell ref="AE55:AE59"/>
    <mergeCell ref="AF55:AF59"/>
    <mergeCell ref="AG55:AG59"/>
    <mergeCell ref="AH55:AH59"/>
    <mergeCell ref="AH48:AH54"/>
    <mergeCell ref="AI48:AI54"/>
    <mergeCell ref="AC48:AC54"/>
    <mergeCell ref="Q20:T20"/>
    <mergeCell ref="Q21:T21"/>
    <mergeCell ref="Q22:T22"/>
    <mergeCell ref="Q23:T23"/>
    <mergeCell ref="AI32:AI42"/>
    <mergeCell ref="AB32:AB42"/>
    <mergeCell ref="AC32:AC42"/>
    <mergeCell ref="AD32:AD42"/>
    <mergeCell ref="AE32:AE42"/>
    <mergeCell ref="AF32:AF42"/>
    <mergeCell ref="AH26:AH31"/>
    <mergeCell ref="AI26:AI31"/>
    <mergeCell ref="U23:Z23"/>
    <mergeCell ref="U24:Z24"/>
    <mergeCell ref="U20:Z20"/>
    <mergeCell ref="AB26:AB31"/>
  </mergeCells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  <oleObjects>
    <oleObject progId="Visio.Drawing.11" shapeId="10241" r:id="rId4"/>
  </oleObjec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F21"/>
  <sheetViews>
    <sheetView workbookViewId="0">
      <selection activeCell="D38" sqref="D38"/>
    </sheetView>
  </sheetViews>
  <sheetFormatPr defaultRowHeight="14.25"/>
  <cols>
    <col min="1" max="1" width="11.625" bestFit="1" customWidth="1"/>
    <col min="2" max="2" width="32.75" bestFit="1" customWidth="1"/>
    <col min="3" max="3" width="9.625" bestFit="1" customWidth="1"/>
    <col min="4" max="4" width="19" customWidth="1"/>
    <col min="5" max="5" width="13.25" bestFit="1" customWidth="1"/>
  </cols>
  <sheetData>
    <row r="1" spans="1:6" ht="27" customHeight="1">
      <c r="A1" s="13" t="s">
        <v>14</v>
      </c>
      <c r="B1" s="13" t="s">
        <v>15</v>
      </c>
      <c r="C1" s="13" t="s">
        <v>18</v>
      </c>
      <c r="D1" s="13" t="s">
        <v>17</v>
      </c>
      <c r="E1" s="13" t="s">
        <v>16</v>
      </c>
      <c r="F1" s="13" t="s">
        <v>19</v>
      </c>
    </row>
    <row r="2" spans="1:6">
      <c r="A2" s="24"/>
      <c r="B2" s="24"/>
      <c r="C2" s="24"/>
      <c r="D2" s="24"/>
      <c r="E2" s="24"/>
      <c r="F2" s="24"/>
    </row>
    <row r="3" spans="1:6">
      <c r="A3" s="35"/>
      <c r="B3" s="35"/>
      <c r="C3" s="38"/>
      <c r="D3" s="35"/>
      <c r="E3" s="35"/>
      <c r="F3" s="32"/>
    </row>
    <row r="4" spans="1:6">
      <c r="A4" s="35"/>
      <c r="B4" s="35"/>
      <c r="C4" s="38"/>
      <c r="D4" s="35"/>
      <c r="E4" s="32"/>
      <c r="F4" s="32"/>
    </row>
    <row r="5" spans="1:6">
      <c r="A5" s="32"/>
      <c r="B5" s="32"/>
      <c r="C5" s="32"/>
      <c r="D5" s="32"/>
      <c r="E5" s="32"/>
      <c r="F5" s="32"/>
    </row>
    <row r="6" spans="1:6">
      <c r="A6" s="32"/>
      <c r="B6" s="32"/>
      <c r="C6" s="32"/>
      <c r="D6" s="32"/>
      <c r="E6" s="32"/>
      <c r="F6" s="32"/>
    </row>
    <row r="7" spans="1:6">
      <c r="A7" s="32"/>
      <c r="B7" s="32"/>
      <c r="C7" s="32"/>
      <c r="D7" s="32"/>
      <c r="E7" s="32"/>
      <c r="F7" s="32"/>
    </row>
    <row r="8" spans="1:6">
      <c r="A8" s="24"/>
      <c r="B8" s="24"/>
      <c r="C8" s="24"/>
      <c r="D8" s="24"/>
      <c r="E8" s="24"/>
      <c r="F8" s="24"/>
    </row>
    <row r="9" spans="1:6">
      <c r="A9" s="32"/>
      <c r="B9" s="32"/>
      <c r="C9" s="32"/>
      <c r="D9" s="32"/>
      <c r="E9" s="32"/>
      <c r="F9" s="14"/>
    </row>
    <row r="10" spans="1:6">
      <c r="A10" s="32"/>
      <c r="B10" s="32"/>
      <c r="C10" s="32"/>
      <c r="D10" s="32"/>
      <c r="E10" s="32"/>
      <c r="F10" s="14"/>
    </row>
    <row r="11" spans="1:6">
      <c r="A11" s="32"/>
      <c r="B11" s="32"/>
      <c r="C11" s="32"/>
      <c r="D11" s="32"/>
      <c r="E11" s="32"/>
      <c r="F11" s="14"/>
    </row>
    <row r="12" spans="1:6">
      <c r="A12" s="32"/>
      <c r="B12" s="32"/>
      <c r="C12" s="32"/>
      <c r="D12" s="32"/>
      <c r="E12" s="32"/>
      <c r="F12" s="14"/>
    </row>
    <row r="13" spans="1:6">
      <c r="A13" s="32"/>
      <c r="B13" s="32"/>
      <c r="C13" s="32"/>
      <c r="D13" s="32"/>
      <c r="E13" s="32"/>
      <c r="F13" s="14"/>
    </row>
    <row r="14" spans="1:6">
      <c r="A14" s="32"/>
      <c r="B14" s="32"/>
      <c r="C14" s="32"/>
      <c r="D14" s="32"/>
      <c r="E14" s="32"/>
      <c r="F14" s="14"/>
    </row>
    <row r="15" spans="1:6">
      <c r="A15" s="32"/>
      <c r="B15" s="32"/>
      <c r="C15" s="32"/>
      <c r="D15" s="32"/>
      <c r="E15" s="32"/>
      <c r="F15" s="14"/>
    </row>
    <row r="16" spans="1:6">
      <c r="A16" s="32"/>
      <c r="B16" s="32"/>
      <c r="C16" s="32"/>
      <c r="D16" s="32"/>
      <c r="E16" s="32"/>
      <c r="F16" s="14"/>
    </row>
    <row r="17" spans="1:6">
      <c r="A17" s="14"/>
      <c r="B17" s="14"/>
      <c r="C17" s="14"/>
      <c r="D17" s="14"/>
      <c r="E17" s="14"/>
      <c r="F17" s="14"/>
    </row>
    <row r="18" spans="1:6">
      <c r="A18" s="14"/>
      <c r="B18" s="14"/>
      <c r="C18" s="14"/>
      <c r="D18" s="14"/>
      <c r="E18" s="14"/>
      <c r="F18" s="14"/>
    </row>
    <row r="19" spans="1:6">
      <c r="A19" s="14"/>
      <c r="B19" s="14"/>
      <c r="C19" s="14"/>
      <c r="D19" s="14"/>
      <c r="E19" s="14"/>
      <c r="F19" s="14"/>
    </row>
    <row r="20" spans="1:6">
      <c r="A20" s="14"/>
      <c r="B20" s="14"/>
      <c r="C20" s="14"/>
      <c r="D20" s="14"/>
      <c r="E20" s="14"/>
      <c r="F20" s="14"/>
    </row>
    <row r="21" spans="1:6">
      <c r="A21" s="14"/>
      <c r="B21" s="14"/>
      <c r="C21" s="14"/>
      <c r="D21" s="14"/>
      <c r="E21" s="14"/>
      <c r="F21" s="14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&amp;L&amp;G&amp;C&amp;F&amp;R机密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G16"/>
  <sheetViews>
    <sheetView zoomScaleNormal="100" workbookViewId="0">
      <selection activeCell="A15" sqref="A15:E17"/>
    </sheetView>
  </sheetViews>
  <sheetFormatPr defaultColWidth="9" defaultRowHeight="14.25"/>
  <cols>
    <col min="1" max="1" width="19.875" style="67" customWidth="1"/>
    <col min="2" max="2" width="15" style="67" customWidth="1"/>
    <col min="3" max="3" width="14.25" style="67" customWidth="1"/>
    <col min="4" max="4" width="15.625" style="67" customWidth="1"/>
    <col min="5" max="5" width="14.25" style="67" customWidth="1"/>
    <col min="6" max="6" width="18.625" style="67" customWidth="1"/>
    <col min="7" max="7" width="14.5" style="67" customWidth="1"/>
    <col min="8" max="16384" width="9" style="67"/>
  </cols>
  <sheetData>
    <row r="1" spans="1:7" ht="31.5" customHeight="1">
      <c r="A1" s="68" t="s">
        <v>61</v>
      </c>
      <c r="B1" s="68" t="s">
        <v>60</v>
      </c>
      <c r="C1" s="70" t="s">
        <v>66</v>
      </c>
      <c r="D1" s="70" t="s">
        <v>67</v>
      </c>
      <c r="E1" s="70" t="s">
        <v>69</v>
      </c>
      <c r="F1" s="68" t="s">
        <v>62</v>
      </c>
    </row>
    <row r="2" spans="1:7" ht="42.75">
      <c r="A2" s="69"/>
      <c r="B2" s="71"/>
      <c r="C2" s="71"/>
      <c r="D2" s="71"/>
      <c r="E2" s="69"/>
      <c r="F2" s="73" t="s">
        <v>70</v>
      </c>
    </row>
    <row r="3" spans="1:7" ht="42.75">
      <c r="A3" s="69"/>
      <c r="B3" s="71"/>
      <c r="C3" s="71"/>
      <c r="D3" s="71"/>
      <c r="E3" s="69"/>
      <c r="F3" s="73" t="s">
        <v>70</v>
      </c>
    </row>
    <row r="4" spans="1:7" ht="42.75">
      <c r="A4" s="69"/>
      <c r="B4" s="71"/>
      <c r="C4" s="71"/>
      <c r="D4" s="71"/>
      <c r="E4" s="69"/>
      <c r="F4" s="73" t="s">
        <v>70</v>
      </c>
    </row>
    <row r="5" spans="1:7" ht="42.75">
      <c r="A5" s="69"/>
      <c r="B5" s="71"/>
      <c r="C5" s="71"/>
      <c r="D5" s="71"/>
      <c r="E5" s="69"/>
      <c r="F5" s="73" t="s">
        <v>70</v>
      </c>
    </row>
    <row r="6" spans="1:7" ht="19.5" customHeight="1"/>
    <row r="7" spans="1:7" ht="19.5" customHeight="1"/>
    <row r="12" spans="1:7" ht="15.75" customHeight="1"/>
    <row r="13" spans="1:7" ht="15" customHeight="1"/>
    <row r="14" spans="1:7">
      <c r="A14" s="70" t="s">
        <v>71</v>
      </c>
      <c r="B14" s="70" t="s">
        <v>72</v>
      </c>
      <c r="C14" s="70" t="s">
        <v>63</v>
      </c>
      <c r="D14" s="70" t="s">
        <v>159</v>
      </c>
      <c r="E14" s="70" t="s">
        <v>64</v>
      </c>
      <c r="F14" s="70" t="s">
        <v>65</v>
      </c>
      <c r="G14" s="68" t="s">
        <v>62</v>
      </c>
    </row>
    <row r="15" spans="1:7">
      <c r="A15" s="71"/>
      <c r="B15" s="69"/>
      <c r="C15" s="71"/>
      <c r="D15" s="71"/>
      <c r="E15" s="71"/>
      <c r="F15" s="69"/>
      <c r="G15" s="72"/>
    </row>
    <row r="16" spans="1:7">
      <c r="A16" s="71"/>
      <c r="B16" s="71"/>
      <c r="C16" s="71"/>
      <c r="D16" s="71"/>
      <c r="E16" s="69"/>
      <c r="F16" s="69"/>
      <c r="G16" s="72"/>
    </row>
  </sheetData>
  <phoneticPr fontId="39" type="noConversion"/>
  <dataValidations count="1">
    <dataValidation type="list" allowBlank="1" showInputMessage="1" showErrorMessage="1" sqref="B15:B16">
      <formula1>"PD,PU,SUS,CTL,SL"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3:H38"/>
  <sheetViews>
    <sheetView zoomScaleNormal="100" workbookViewId="0">
      <selection activeCell="D6" sqref="D6"/>
    </sheetView>
  </sheetViews>
  <sheetFormatPr defaultColWidth="9" defaultRowHeight="14.25"/>
  <cols>
    <col min="1" max="1" width="14.125" style="65" customWidth="1"/>
    <col min="2" max="2" width="18.375" style="65" customWidth="1"/>
    <col min="3" max="3" width="15.25" style="65" customWidth="1"/>
    <col min="4" max="4" width="18.375" style="65" customWidth="1"/>
    <col min="5" max="5" width="10.375" style="65" customWidth="1"/>
    <col min="6" max="7" width="9" style="65"/>
    <col min="8" max="8" width="10.625" style="65" customWidth="1"/>
    <col min="9" max="9" width="11.25" style="65" customWidth="1"/>
    <col min="10" max="16384" width="9" style="65"/>
  </cols>
  <sheetData>
    <row r="3" spans="1:8">
      <c r="A3" s="295"/>
      <c r="B3" s="296"/>
      <c r="C3" s="296"/>
      <c r="D3" s="297"/>
    </row>
    <row r="4" spans="1:8">
      <c r="A4" s="298" t="s">
        <v>1000</v>
      </c>
      <c r="B4" s="299" t="s">
        <v>1004</v>
      </c>
      <c r="C4" s="300"/>
      <c r="D4" s="301"/>
    </row>
    <row r="5" spans="1:8">
      <c r="A5" s="298"/>
      <c r="B5" s="302"/>
      <c r="C5" s="303"/>
      <c r="D5" s="301"/>
    </row>
    <row r="6" spans="1:8">
      <c r="A6" s="298" t="s">
        <v>1001</v>
      </c>
      <c r="B6" s="304" t="s">
        <v>1002</v>
      </c>
      <c r="C6" s="304"/>
      <c r="D6" s="301"/>
    </row>
    <row r="7" spans="1:8">
      <c r="A7" s="305"/>
      <c r="B7" s="306"/>
      <c r="C7" s="306"/>
      <c r="D7" s="301"/>
    </row>
    <row r="8" spans="1:8">
      <c r="A8" s="307"/>
      <c r="B8" s="308"/>
      <c r="C8" s="309"/>
      <c r="D8" s="301"/>
    </row>
    <row r="9" spans="1:8">
      <c r="A9" s="307"/>
      <c r="B9" s="308"/>
      <c r="C9" s="309"/>
      <c r="D9" s="301"/>
    </row>
    <row r="10" spans="1:8">
      <c r="A10" s="307"/>
      <c r="B10" s="308"/>
      <c r="C10" s="308"/>
      <c r="D10" s="301"/>
    </row>
    <row r="11" spans="1:8">
      <c r="A11" s="310"/>
      <c r="B11" s="311"/>
      <c r="C11" s="311"/>
      <c r="D11" s="312"/>
    </row>
    <row r="14" spans="1:8">
      <c r="D14" s="79" t="s">
        <v>741</v>
      </c>
      <c r="E14" s="79" t="s">
        <v>742</v>
      </c>
    </row>
    <row r="15" spans="1:8">
      <c r="A15" s="66" t="s">
        <v>91</v>
      </c>
    </row>
    <row r="16" spans="1:8">
      <c r="A16" s="404" t="s">
        <v>81</v>
      </c>
      <c r="B16" s="79" t="s">
        <v>270</v>
      </c>
      <c r="C16" s="79" t="s">
        <v>94</v>
      </c>
      <c r="D16" s="79" t="s">
        <v>290</v>
      </c>
      <c r="E16" s="79" t="s">
        <v>625</v>
      </c>
      <c r="F16" s="66"/>
      <c r="H16" s="66"/>
    </row>
    <row r="17" spans="1:8">
      <c r="A17" s="405"/>
      <c r="B17" s="79" t="s">
        <v>87</v>
      </c>
      <c r="C17" s="80">
        <v>12</v>
      </c>
      <c r="D17" s="79" t="s">
        <v>276</v>
      </c>
      <c r="E17" s="79" t="s">
        <v>740</v>
      </c>
      <c r="H17" s="66"/>
    </row>
    <row r="18" spans="1:8">
      <c r="A18" s="405"/>
      <c r="B18" s="79" t="s">
        <v>88</v>
      </c>
      <c r="C18" s="80">
        <v>32</v>
      </c>
      <c r="D18" s="79" t="s">
        <v>287</v>
      </c>
      <c r="E18" s="79" t="s">
        <v>739</v>
      </c>
      <c r="G18" s="66"/>
      <c r="H18" s="66"/>
    </row>
    <row r="19" spans="1:8">
      <c r="A19" s="123" t="s">
        <v>413</v>
      </c>
      <c r="B19" s="122" t="s">
        <v>412</v>
      </c>
      <c r="G19" s="66"/>
      <c r="H19" s="66"/>
    </row>
    <row r="20" spans="1:8">
      <c r="A20" s="81" t="s">
        <v>142</v>
      </c>
      <c r="B20" s="81" t="s">
        <v>95</v>
      </c>
      <c r="C20" s="81" t="s">
        <v>404</v>
      </c>
      <c r="D20" s="81" t="s">
        <v>391</v>
      </c>
      <c r="E20" s="82" t="s">
        <v>146</v>
      </c>
      <c r="F20" s="81" t="s">
        <v>145</v>
      </c>
      <c r="H20" s="66"/>
    </row>
    <row r="21" spans="1:8">
      <c r="A21" s="401" t="s">
        <v>656</v>
      </c>
      <c r="B21" s="81" t="s">
        <v>657</v>
      </c>
      <c r="C21" s="82">
        <v>4</v>
      </c>
      <c r="D21" s="82">
        <v>4</v>
      </c>
      <c r="E21" s="82" t="s">
        <v>658</v>
      </c>
      <c r="F21" s="81" t="s">
        <v>659</v>
      </c>
    </row>
    <row r="22" spans="1:8">
      <c r="A22" s="402"/>
      <c r="B22" s="81" t="s">
        <v>658</v>
      </c>
      <c r="C22" s="82">
        <v>3</v>
      </c>
      <c r="D22" s="82">
        <v>3</v>
      </c>
      <c r="E22" s="82" t="s">
        <v>660</v>
      </c>
      <c r="F22" s="81" t="s">
        <v>661</v>
      </c>
    </row>
    <row r="23" spans="1:8">
      <c r="A23" s="402"/>
      <c r="B23" s="81" t="s">
        <v>662</v>
      </c>
      <c r="C23" s="82">
        <v>2</v>
      </c>
      <c r="D23" s="82">
        <v>2</v>
      </c>
      <c r="E23" s="81" t="s">
        <v>663</v>
      </c>
      <c r="F23" s="81" t="s">
        <v>664</v>
      </c>
    </row>
    <row r="24" spans="1:8">
      <c r="A24" s="402"/>
      <c r="B24" s="81" t="s">
        <v>665</v>
      </c>
      <c r="C24" s="82">
        <v>1</v>
      </c>
      <c r="D24" s="82">
        <v>0</v>
      </c>
      <c r="E24" s="81" t="s">
        <v>666</v>
      </c>
      <c r="F24" s="81" t="s">
        <v>664</v>
      </c>
    </row>
    <row r="25" spans="1:8">
      <c r="A25" s="402"/>
      <c r="B25" s="82"/>
      <c r="C25" s="82"/>
      <c r="D25" s="82"/>
      <c r="E25" s="81" t="s">
        <v>667</v>
      </c>
      <c r="F25" s="82" t="s">
        <v>668</v>
      </c>
    </row>
    <row r="26" spans="1:8">
      <c r="A26" s="403"/>
      <c r="B26" s="82"/>
      <c r="C26" s="82"/>
      <c r="D26" s="82"/>
      <c r="E26" s="81" t="s">
        <v>669</v>
      </c>
      <c r="F26" s="82" t="s">
        <v>668</v>
      </c>
    </row>
    <row r="27" spans="1:8" ht="14.25" customHeight="1">
      <c r="A27" s="401" t="s">
        <v>631</v>
      </c>
      <c r="B27" s="81" t="s">
        <v>148</v>
      </c>
      <c r="C27" s="82">
        <v>7</v>
      </c>
      <c r="D27" s="82">
        <v>7</v>
      </c>
      <c r="E27" s="82" t="s">
        <v>92</v>
      </c>
      <c r="F27" s="81" t="s">
        <v>629</v>
      </c>
    </row>
    <row r="28" spans="1:8">
      <c r="A28" s="402"/>
      <c r="B28" s="81" t="s">
        <v>150</v>
      </c>
      <c r="C28" s="82">
        <v>6</v>
      </c>
      <c r="D28" s="82">
        <v>6</v>
      </c>
      <c r="E28" s="82" t="s">
        <v>93</v>
      </c>
      <c r="F28" s="81" t="s">
        <v>630</v>
      </c>
    </row>
    <row r="29" spans="1:8">
      <c r="A29" s="402"/>
      <c r="B29" s="81" t="s">
        <v>83</v>
      </c>
      <c r="C29" s="81">
        <v>5</v>
      </c>
      <c r="D29" s="81">
        <v>5</v>
      </c>
      <c r="E29" s="81" t="s">
        <v>182</v>
      </c>
      <c r="F29" s="81" t="s">
        <v>628</v>
      </c>
    </row>
    <row r="30" spans="1:8">
      <c r="A30" s="402"/>
      <c r="B30" s="81" t="s">
        <v>151</v>
      </c>
      <c r="C30" s="81">
        <v>4</v>
      </c>
      <c r="D30" s="81">
        <v>2</v>
      </c>
      <c r="E30" s="81" t="s">
        <v>183</v>
      </c>
      <c r="F30" s="81" t="s">
        <v>628</v>
      </c>
    </row>
    <row r="31" spans="1:8">
      <c r="A31" s="402"/>
      <c r="B31" s="82" t="s">
        <v>598</v>
      </c>
      <c r="C31" s="81">
        <v>1</v>
      </c>
      <c r="D31" s="81">
        <v>1</v>
      </c>
      <c r="E31" s="81" t="s">
        <v>185</v>
      </c>
      <c r="F31" s="81" t="s">
        <v>627</v>
      </c>
    </row>
    <row r="32" spans="1:8">
      <c r="A32" s="403"/>
      <c r="B32" s="81" t="s">
        <v>599</v>
      </c>
      <c r="C32" s="81">
        <v>0</v>
      </c>
      <c r="D32" s="82">
        <v>0</v>
      </c>
      <c r="E32" s="81" t="s">
        <v>187</v>
      </c>
      <c r="F32" s="81" t="s">
        <v>627</v>
      </c>
    </row>
    <row r="33" spans="1:6" ht="14.25" customHeight="1">
      <c r="A33" s="401" t="s">
        <v>674</v>
      </c>
      <c r="B33" s="81" t="s">
        <v>148</v>
      </c>
      <c r="C33" s="82">
        <v>5</v>
      </c>
      <c r="D33" s="82">
        <v>5</v>
      </c>
      <c r="E33" s="82" t="s">
        <v>92</v>
      </c>
      <c r="F33" s="81" t="s">
        <v>595</v>
      </c>
    </row>
    <row r="34" spans="1:6">
      <c r="A34" s="402"/>
      <c r="B34" s="81" t="s">
        <v>150</v>
      </c>
      <c r="C34" s="82">
        <v>4</v>
      </c>
      <c r="D34" s="82">
        <v>4</v>
      </c>
      <c r="E34" s="82" t="s">
        <v>93</v>
      </c>
      <c r="F34" s="81" t="s">
        <v>596</v>
      </c>
    </row>
    <row r="35" spans="1:6">
      <c r="A35" s="402"/>
      <c r="B35" s="81" t="s">
        <v>83</v>
      </c>
      <c r="C35" s="82">
        <v>3</v>
      </c>
      <c r="D35" s="82">
        <v>3</v>
      </c>
      <c r="E35" s="81" t="s">
        <v>182</v>
      </c>
      <c r="F35" s="81" t="s">
        <v>594</v>
      </c>
    </row>
    <row r="36" spans="1:6">
      <c r="A36" s="402"/>
      <c r="B36" s="81" t="s">
        <v>151</v>
      </c>
      <c r="C36" s="82">
        <v>2</v>
      </c>
      <c r="D36" s="82">
        <v>1</v>
      </c>
      <c r="E36" s="81" t="s">
        <v>183</v>
      </c>
      <c r="F36" s="81" t="s">
        <v>594</v>
      </c>
    </row>
    <row r="37" spans="1:6">
      <c r="A37" s="402"/>
      <c r="B37" s="82" t="s">
        <v>593</v>
      </c>
      <c r="C37" s="82">
        <v>0</v>
      </c>
      <c r="D37" s="82">
        <v>0</v>
      </c>
      <c r="E37" s="81" t="s">
        <v>185</v>
      </c>
      <c r="F37" s="82" t="s">
        <v>597</v>
      </c>
    </row>
    <row r="38" spans="1:6">
      <c r="A38" s="403"/>
      <c r="B38" s="82"/>
      <c r="C38" s="82"/>
      <c r="D38" s="82"/>
      <c r="E38" s="81" t="s">
        <v>187</v>
      </c>
      <c r="F38" s="82" t="s">
        <v>597</v>
      </c>
    </row>
  </sheetData>
  <mergeCells count="4">
    <mergeCell ref="A33:A38"/>
    <mergeCell ref="A27:A32"/>
    <mergeCell ref="A16:A18"/>
    <mergeCell ref="A21:A26"/>
  </mergeCells>
  <phoneticPr fontId="3" type="noConversion"/>
  <dataValidations disablePrompts="1" count="2">
    <dataValidation type="list" allowBlank="1" showInputMessage="1" showErrorMessage="1" sqref="C16">
      <formula1>"SV interface,Verilog"</formula1>
    </dataValidation>
    <dataValidation type="list" allowBlank="1" showInputMessage="1" showErrorMessage="1" sqref="B19">
      <formula1>"是,否"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9"/>
  <dimension ref="A2:M245"/>
  <sheetViews>
    <sheetView topLeftCell="A133" zoomScale="85" zoomScaleNormal="85" workbookViewId="0">
      <selection activeCell="B113" sqref="B113"/>
    </sheetView>
  </sheetViews>
  <sheetFormatPr defaultRowHeight="14.25"/>
  <cols>
    <col min="1" max="1" width="15.375" customWidth="1"/>
    <col min="2" max="2" width="19" customWidth="1"/>
    <col min="3" max="3" width="27.75" customWidth="1"/>
    <col min="4" max="4" width="20" customWidth="1"/>
    <col min="5" max="5" width="20.375" customWidth="1"/>
    <col min="6" max="6" width="16.125" customWidth="1"/>
    <col min="7" max="7" width="18.125" customWidth="1"/>
    <col min="8" max="8" width="13.625" customWidth="1"/>
    <col min="9" max="9" width="18.75" customWidth="1"/>
    <col min="10" max="10" width="24.125" customWidth="1"/>
  </cols>
  <sheetData>
    <row r="2" spans="1:13">
      <c r="A2" s="77" t="s">
        <v>224</v>
      </c>
    </row>
    <row r="3" spans="1:13" ht="78" customHeight="1">
      <c r="B3" s="451" t="s">
        <v>216</v>
      </c>
      <c r="C3" s="414"/>
      <c r="D3" s="414"/>
      <c r="E3" s="414"/>
      <c r="F3" s="414"/>
      <c r="G3" s="414"/>
      <c r="H3" s="89"/>
      <c r="I3" s="89"/>
      <c r="J3" s="89"/>
      <c r="K3" s="89"/>
      <c r="L3" s="89"/>
      <c r="M3" s="89"/>
    </row>
    <row r="6" spans="1:13">
      <c r="B6" s="77"/>
    </row>
    <row r="7" spans="1:13">
      <c r="A7" s="77" t="s">
        <v>225</v>
      </c>
    </row>
    <row r="8" spans="1:13">
      <c r="B8" s="140" t="s">
        <v>202</v>
      </c>
      <c r="C8" s="140" t="s">
        <v>203</v>
      </c>
      <c r="D8" s="140" t="s">
        <v>410</v>
      </c>
      <c r="E8" s="140" t="s">
        <v>209</v>
      </c>
      <c r="F8" s="140" t="s">
        <v>210</v>
      </c>
      <c r="G8" s="140" t="s">
        <v>212</v>
      </c>
      <c r="H8" s="140" t="s">
        <v>211</v>
      </c>
    </row>
    <row r="9" spans="1:13">
      <c r="B9" s="137" t="s">
        <v>199</v>
      </c>
      <c r="C9" s="138" t="s">
        <v>208</v>
      </c>
      <c r="D9" s="139" t="s">
        <v>469</v>
      </c>
      <c r="E9" s="139" t="s">
        <v>469</v>
      </c>
      <c r="F9" s="139" t="s">
        <v>469</v>
      </c>
      <c r="G9" s="139" t="s">
        <v>469</v>
      </c>
      <c r="H9" s="138" t="s">
        <v>214</v>
      </c>
    </row>
    <row r="10" spans="1:13">
      <c r="B10" s="137" t="s">
        <v>462</v>
      </c>
      <c r="C10" s="138" t="s">
        <v>463</v>
      </c>
      <c r="D10" s="138" t="s">
        <v>470</v>
      </c>
      <c r="E10" s="139" t="s">
        <v>469</v>
      </c>
      <c r="F10" s="138" t="s">
        <v>470</v>
      </c>
      <c r="G10" s="138" t="s">
        <v>470</v>
      </c>
      <c r="H10" s="138" t="s">
        <v>464</v>
      </c>
    </row>
    <row r="11" spans="1:13">
      <c r="B11" s="137" t="s">
        <v>465</v>
      </c>
      <c r="C11" s="138" t="s">
        <v>466</v>
      </c>
      <c r="D11" s="138" t="s">
        <v>470</v>
      </c>
      <c r="E11" s="139" t="s">
        <v>469</v>
      </c>
      <c r="F11" s="138" t="s">
        <v>470</v>
      </c>
      <c r="G11" s="138" t="s">
        <v>470</v>
      </c>
      <c r="H11" s="138" t="s">
        <v>464</v>
      </c>
    </row>
    <row r="12" spans="1:13">
      <c r="B12" s="137" t="s">
        <v>467</v>
      </c>
      <c r="C12" s="138" t="s">
        <v>468</v>
      </c>
      <c r="D12" s="138" t="s">
        <v>470</v>
      </c>
      <c r="E12" s="139" t="s">
        <v>469</v>
      </c>
      <c r="F12" s="138" t="s">
        <v>470</v>
      </c>
      <c r="G12" s="138" t="s">
        <v>470</v>
      </c>
      <c r="H12" s="138" t="s">
        <v>464</v>
      </c>
    </row>
    <row r="13" spans="1:13" ht="28.5">
      <c r="B13" s="137" t="s">
        <v>200</v>
      </c>
      <c r="C13" s="138" t="s">
        <v>218</v>
      </c>
      <c r="D13" s="139" t="s">
        <v>469</v>
      </c>
      <c r="E13" s="139" t="s">
        <v>469</v>
      </c>
      <c r="F13" s="139" t="s">
        <v>469</v>
      </c>
      <c r="G13" s="139" t="s">
        <v>469</v>
      </c>
      <c r="H13" s="138" t="s">
        <v>214</v>
      </c>
    </row>
    <row r="14" spans="1:13" ht="42.75" customHeight="1">
      <c r="B14" s="137" t="s">
        <v>201</v>
      </c>
      <c r="C14" s="138" t="s">
        <v>220</v>
      </c>
      <c r="D14" s="139" t="s">
        <v>469</v>
      </c>
      <c r="E14" s="138" t="s">
        <v>470</v>
      </c>
      <c r="F14" s="138" t="s">
        <v>470</v>
      </c>
      <c r="G14" s="139" t="s">
        <v>469</v>
      </c>
      <c r="H14" s="138" t="s">
        <v>471</v>
      </c>
    </row>
    <row r="15" spans="1:13">
      <c r="B15" s="137" t="s">
        <v>204</v>
      </c>
      <c r="C15" s="138" t="s">
        <v>217</v>
      </c>
      <c r="D15" s="139" t="s">
        <v>469</v>
      </c>
      <c r="E15" s="139" t="s">
        <v>469</v>
      </c>
      <c r="F15" s="138" t="s">
        <v>470</v>
      </c>
      <c r="G15" s="139" t="s">
        <v>469</v>
      </c>
      <c r="H15" s="138" t="s">
        <v>214</v>
      </c>
    </row>
    <row r="16" spans="1:13">
      <c r="B16" s="137" t="s">
        <v>213</v>
      </c>
      <c r="C16" s="138" t="s">
        <v>219</v>
      </c>
      <c r="D16" s="138" t="s">
        <v>470</v>
      </c>
      <c r="E16" s="139" t="s">
        <v>469</v>
      </c>
      <c r="F16" s="138" t="s">
        <v>470</v>
      </c>
      <c r="G16" s="138" t="s">
        <v>470</v>
      </c>
      <c r="H16" s="138" t="s">
        <v>215</v>
      </c>
    </row>
    <row r="17" spans="1:10" ht="28.5">
      <c r="B17" s="137" t="s">
        <v>205</v>
      </c>
      <c r="C17" s="138" t="s">
        <v>221</v>
      </c>
      <c r="D17" s="139" t="s">
        <v>469</v>
      </c>
      <c r="E17" s="138" t="s">
        <v>470</v>
      </c>
      <c r="F17" s="138" t="s">
        <v>470</v>
      </c>
      <c r="G17" s="138" t="s">
        <v>470</v>
      </c>
      <c r="H17" s="138" t="s">
        <v>214</v>
      </c>
    </row>
    <row r="18" spans="1:10" ht="42.75">
      <c r="B18" s="137" t="s">
        <v>206</v>
      </c>
      <c r="C18" s="138" t="s">
        <v>222</v>
      </c>
      <c r="D18" s="139" t="s">
        <v>469</v>
      </c>
      <c r="E18" s="138" t="s">
        <v>470</v>
      </c>
      <c r="F18" s="138" t="s">
        <v>470</v>
      </c>
      <c r="G18" s="138" t="s">
        <v>470</v>
      </c>
      <c r="H18" s="138" t="s">
        <v>214</v>
      </c>
    </row>
    <row r="19" spans="1:10" ht="44.25" customHeight="1">
      <c r="B19" s="137" t="s">
        <v>207</v>
      </c>
      <c r="C19" s="138" t="s">
        <v>414</v>
      </c>
      <c r="D19" s="139" t="s">
        <v>469</v>
      </c>
      <c r="E19" s="139" t="s">
        <v>469</v>
      </c>
      <c r="F19" s="139" t="s">
        <v>469</v>
      </c>
      <c r="G19" s="139" t="s">
        <v>469</v>
      </c>
      <c r="H19" s="138" t="s">
        <v>214</v>
      </c>
    </row>
    <row r="21" spans="1:10">
      <c r="B21" s="449" t="s">
        <v>223</v>
      </c>
      <c r="C21" s="450"/>
      <c r="D21" s="450"/>
      <c r="E21" s="450"/>
    </row>
    <row r="24" spans="1:10">
      <c r="B24" s="77"/>
    </row>
    <row r="25" spans="1:10">
      <c r="A25" s="77" t="s">
        <v>226</v>
      </c>
      <c r="B25" s="77"/>
    </row>
    <row r="26" spans="1:10">
      <c r="A26" s="77"/>
      <c r="B26" s="413" t="s">
        <v>418</v>
      </c>
      <c r="C26" s="414"/>
      <c r="D26" s="414"/>
      <c r="E26" s="414"/>
      <c r="F26" s="414"/>
      <c r="G26" s="414"/>
    </row>
    <row r="27" spans="1:10" ht="14.25" customHeight="1">
      <c r="B27" s="413" t="s">
        <v>277</v>
      </c>
      <c r="C27" s="414"/>
      <c r="D27" s="414"/>
      <c r="E27" s="414"/>
      <c r="F27" s="414"/>
      <c r="G27" s="414"/>
    </row>
    <row r="28" spans="1:10" ht="75" customHeight="1">
      <c r="B28" s="413" t="s">
        <v>355</v>
      </c>
      <c r="C28" s="414"/>
      <c r="D28" s="414"/>
      <c r="E28" s="414"/>
      <c r="F28" s="414"/>
      <c r="G28" s="414"/>
    </row>
    <row r="29" spans="1:10" ht="14.25" customHeight="1">
      <c r="B29" s="413" t="s">
        <v>411</v>
      </c>
      <c r="C29" s="414"/>
      <c r="D29" s="414"/>
      <c r="E29" s="414"/>
      <c r="F29" s="414"/>
      <c r="G29" s="414"/>
    </row>
    <row r="30" spans="1:10" ht="19.5" customHeight="1">
      <c r="B30" s="413" t="s">
        <v>228</v>
      </c>
      <c r="C30" s="414"/>
      <c r="D30" s="414"/>
      <c r="E30" s="414"/>
      <c r="F30" s="414"/>
      <c r="G30" s="414"/>
      <c r="J30">
        <v>4</v>
      </c>
    </row>
    <row r="31" spans="1:10">
      <c r="A31" s="77"/>
      <c r="B31" s="413"/>
      <c r="C31" s="414"/>
      <c r="D31" s="414"/>
      <c r="E31" s="414"/>
    </row>
    <row r="32" spans="1:10">
      <c r="B32" s="413"/>
      <c r="C32" s="414"/>
      <c r="D32" s="414"/>
      <c r="E32" s="414"/>
    </row>
    <row r="33" spans="1:7">
      <c r="B33" s="413"/>
      <c r="C33" s="414"/>
      <c r="D33" s="414"/>
      <c r="E33" s="414"/>
    </row>
    <row r="34" spans="1:7">
      <c r="A34" s="77" t="s">
        <v>227</v>
      </c>
      <c r="B34" s="413"/>
      <c r="C34" s="414"/>
      <c r="D34" s="414"/>
      <c r="E34" s="414"/>
    </row>
    <row r="35" spans="1:7">
      <c r="B35" s="413" t="s">
        <v>271</v>
      </c>
      <c r="C35" s="414"/>
      <c r="D35" s="414"/>
      <c r="E35" s="414"/>
      <c r="F35" s="414"/>
      <c r="G35" s="414"/>
    </row>
    <row r="36" spans="1:7">
      <c r="B36" s="414"/>
      <c r="C36" s="414"/>
      <c r="D36" s="414"/>
      <c r="E36" s="414"/>
      <c r="F36" s="414"/>
      <c r="G36" s="414"/>
    </row>
    <row r="37" spans="1:7" ht="63.75" customHeight="1">
      <c r="B37" s="414"/>
      <c r="C37" s="414"/>
      <c r="D37" s="414"/>
      <c r="E37" s="414"/>
      <c r="F37" s="414"/>
      <c r="G37" s="414"/>
    </row>
    <row r="41" spans="1:7" ht="15" thickBot="1">
      <c r="A41" s="77" t="s">
        <v>229</v>
      </c>
    </row>
    <row r="42" spans="1:7" ht="15" thickBot="1">
      <c r="B42" s="90" t="s">
        <v>230</v>
      </c>
      <c r="C42" s="91" t="s">
        <v>231</v>
      </c>
      <c r="D42" s="91" t="s">
        <v>232</v>
      </c>
      <c r="E42" s="91" t="s">
        <v>233</v>
      </c>
    </row>
    <row r="43" spans="1:7" ht="15" thickBot="1">
      <c r="B43" s="452" t="s">
        <v>234</v>
      </c>
      <c r="C43" s="453"/>
      <c r="D43" s="453"/>
      <c r="E43" s="454"/>
    </row>
    <row r="44" spans="1:7" ht="15" thickBot="1">
      <c r="B44" s="92" t="s">
        <v>235</v>
      </c>
      <c r="C44" s="93">
        <v>1</v>
      </c>
      <c r="D44" s="93" t="s">
        <v>236</v>
      </c>
      <c r="E44" s="93" t="s">
        <v>275</v>
      </c>
    </row>
    <row r="45" spans="1:7" ht="15" thickBot="1">
      <c r="B45" s="92" t="s">
        <v>237</v>
      </c>
      <c r="C45" s="93">
        <v>1</v>
      </c>
      <c r="D45" s="93" t="s">
        <v>236</v>
      </c>
      <c r="E45" s="93" t="s">
        <v>238</v>
      </c>
    </row>
    <row r="46" spans="1:7" ht="15" thickBot="1">
      <c r="B46" s="92" t="s">
        <v>239</v>
      </c>
      <c r="C46" s="93">
        <v>1</v>
      </c>
      <c r="D46" s="93" t="s">
        <v>236</v>
      </c>
      <c r="E46" s="93" t="s">
        <v>240</v>
      </c>
    </row>
    <row r="47" spans="1:7" ht="15" thickBot="1">
      <c r="B47" s="92" t="s">
        <v>241</v>
      </c>
      <c r="C47" s="93">
        <v>1</v>
      </c>
      <c r="D47" s="93" t="s">
        <v>236</v>
      </c>
      <c r="E47" s="93" t="s">
        <v>242</v>
      </c>
    </row>
    <row r="48" spans="1:7" ht="15" thickBot="1">
      <c r="B48" s="92" t="s">
        <v>243</v>
      </c>
      <c r="C48" s="93" t="s">
        <v>286</v>
      </c>
      <c r="D48" s="93" t="s">
        <v>236</v>
      </c>
      <c r="E48" s="93" t="s">
        <v>244</v>
      </c>
    </row>
    <row r="49" spans="2:5" ht="15" thickBot="1">
      <c r="B49" s="92" t="s">
        <v>245</v>
      </c>
      <c r="C49" s="93" t="s">
        <v>246</v>
      </c>
      <c r="D49" s="93" t="s">
        <v>236</v>
      </c>
      <c r="E49" s="93" t="s">
        <v>247</v>
      </c>
    </row>
    <row r="50" spans="2:5" ht="15" thickBot="1">
      <c r="B50" s="92" t="s">
        <v>248</v>
      </c>
      <c r="C50" s="93" t="s">
        <v>246</v>
      </c>
      <c r="D50" s="93" t="s">
        <v>249</v>
      </c>
      <c r="E50" s="93" t="s">
        <v>250</v>
      </c>
    </row>
    <row r="51" spans="2:5" ht="67.5" thickBot="1">
      <c r="B51" s="97" t="s">
        <v>272</v>
      </c>
      <c r="C51" s="96"/>
      <c r="D51" s="96" t="s">
        <v>269</v>
      </c>
      <c r="E51" s="96" t="s">
        <v>273</v>
      </c>
    </row>
    <row r="52" spans="2:5" ht="15" thickBot="1">
      <c r="B52" s="92" t="s">
        <v>251</v>
      </c>
      <c r="C52" s="93">
        <v>1</v>
      </c>
      <c r="D52" s="93" t="s">
        <v>236</v>
      </c>
      <c r="E52" s="94" t="s">
        <v>252</v>
      </c>
    </row>
    <row r="53" spans="2:5" ht="15" thickBot="1">
      <c r="B53" s="92" t="s">
        <v>253</v>
      </c>
      <c r="C53" s="93">
        <v>1</v>
      </c>
      <c r="D53" s="93" t="s">
        <v>236</v>
      </c>
      <c r="E53" s="94" t="s">
        <v>528</v>
      </c>
    </row>
    <row r="54" spans="2:5" ht="15" thickBot="1">
      <c r="B54" s="92" t="s">
        <v>254</v>
      </c>
      <c r="C54" s="93">
        <v>1</v>
      </c>
      <c r="D54" s="93" t="s">
        <v>236</v>
      </c>
      <c r="E54" s="93" t="s">
        <v>255</v>
      </c>
    </row>
    <row r="55" spans="2:5" ht="15" thickBot="1">
      <c r="B55" s="452" t="s">
        <v>256</v>
      </c>
      <c r="C55" s="453"/>
      <c r="D55" s="453"/>
      <c r="E55" s="454"/>
    </row>
    <row r="56" spans="2:5" ht="27.75" thickBot="1">
      <c r="B56" s="92" t="s">
        <v>408</v>
      </c>
      <c r="C56" s="93">
        <v>1</v>
      </c>
      <c r="D56" s="93" t="s">
        <v>236</v>
      </c>
      <c r="E56" s="93" t="s">
        <v>257</v>
      </c>
    </row>
    <row r="57" spans="2:5" ht="15" thickBot="1">
      <c r="B57" s="92" t="s">
        <v>258</v>
      </c>
      <c r="C57" s="93">
        <v>1</v>
      </c>
      <c r="D57" s="93" t="s">
        <v>249</v>
      </c>
      <c r="E57" s="93" t="s">
        <v>259</v>
      </c>
    </row>
    <row r="58" spans="2:5" ht="15" thickBot="1">
      <c r="B58" s="92" t="s">
        <v>260</v>
      </c>
      <c r="C58" s="93">
        <v>1</v>
      </c>
      <c r="D58" s="93" t="s">
        <v>249</v>
      </c>
      <c r="E58" s="93" t="s">
        <v>261</v>
      </c>
    </row>
    <row r="59" spans="2:5" ht="15" thickBot="1">
      <c r="B59" s="92" t="s">
        <v>262</v>
      </c>
      <c r="C59" s="93" t="s">
        <v>263</v>
      </c>
      <c r="D59" s="93" t="s">
        <v>249</v>
      </c>
      <c r="E59" s="93" t="s">
        <v>264</v>
      </c>
    </row>
    <row r="60" spans="2:5" ht="15" thickBot="1">
      <c r="B60" s="452" t="s">
        <v>265</v>
      </c>
      <c r="C60" s="453"/>
      <c r="D60" s="453"/>
      <c r="E60" s="454"/>
    </row>
    <row r="61" spans="2:5" ht="27" thickBot="1">
      <c r="B61" s="92" t="s">
        <v>266</v>
      </c>
      <c r="C61" s="93">
        <v>1</v>
      </c>
      <c r="D61" s="93" t="s">
        <v>236</v>
      </c>
      <c r="E61" s="93" t="s">
        <v>435</v>
      </c>
    </row>
    <row r="62" spans="2:5" ht="27" thickBot="1">
      <c r="B62" s="92" t="s">
        <v>267</v>
      </c>
      <c r="C62" s="93">
        <v>1</v>
      </c>
      <c r="D62" s="93" t="s">
        <v>236</v>
      </c>
      <c r="E62" s="93" t="s">
        <v>434</v>
      </c>
    </row>
    <row r="63" spans="2:5" ht="27" thickBot="1">
      <c r="B63" s="92" t="s">
        <v>268</v>
      </c>
      <c r="C63" s="93">
        <v>1</v>
      </c>
      <c r="D63" s="93" t="s">
        <v>249</v>
      </c>
      <c r="E63" s="93" t="s">
        <v>436</v>
      </c>
    </row>
    <row r="64" spans="2:5">
      <c r="B64" s="95"/>
    </row>
    <row r="65" spans="1:7">
      <c r="B65" s="130" t="s">
        <v>441</v>
      </c>
      <c r="D65" s="132" t="s">
        <v>442</v>
      </c>
      <c r="E65" s="132" t="s">
        <v>443</v>
      </c>
      <c r="F65" s="133" t="s">
        <v>449</v>
      </c>
      <c r="G65" s="132" t="s">
        <v>444</v>
      </c>
    </row>
    <row r="66" spans="1:7" s="130" customFormat="1">
      <c r="D66" s="131">
        <v>0</v>
      </c>
      <c r="E66" s="131">
        <v>0</v>
      </c>
      <c r="F66" s="134" t="s">
        <v>450</v>
      </c>
      <c r="G66" s="131" t="s">
        <v>445</v>
      </c>
    </row>
    <row r="67" spans="1:7" s="130" customFormat="1">
      <c r="D67" s="131">
        <v>1</v>
      </c>
      <c r="E67" s="131">
        <v>0</v>
      </c>
      <c r="F67" s="134" t="s">
        <v>450</v>
      </c>
      <c r="G67" s="131" t="s">
        <v>445</v>
      </c>
    </row>
    <row r="68" spans="1:7" s="130" customFormat="1">
      <c r="D68" s="131">
        <v>0</v>
      </c>
      <c r="E68" s="131">
        <v>1</v>
      </c>
      <c r="F68" s="134" t="s">
        <v>451</v>
      </c>
      <c r="G68" s="131">
        <v>0</v>
      </c>
    </row>
    <row r="69" spans="1:7" s="130" customFormat="1">
      <c r="D69" s="131">
        <v>1</v>
      </c>
      <c r="E69" s="131">
        <v>1</v>
      </c>
      <c r="F69" s="134" t="s">
        <v>446</v>
      </c>
      <c r="G69" s="131">
        <v>1</v>
      </c>
    </row>
    <row r="70" spans="1:7" s="130" customFormat="1">
      <c r="D70" s="131" t="s">
        <v>447</v>
      </c>
      <c r="E70" s="131">
        <v>0</v>
      </c>
      <c r="F70" s="134" t="s">
        <v>452</v>
      </c>
      <c r="G70" s="131">
        <v>0</v>
      </c>
    </row>
    <row r="71" spans="1:7" s="130" customFormat="1">
      <c r="D71" s="131" t="s">
        <v>447</v>
      </c>
      <c r="E71" s="131">
        <v>0</v>
      </c>
      <c r="F71" s="134" t="s">
        <v>453</v>
      </c>
      <c r="G71" s="131">
        <v>1</v>
      </c>
    </row>
    <row r="72" spans="1:7" s="130" customFormat="1">
      <c r="D72" s="130" t="s">
        <v>448</v>
      </c>
    </row>
    <row r="73" spans="1:7" s="130" customFormat="1"/>
    <row r="75" spans="1:7">
      <c r="A75" s="77" t="s">
        <v>274</v>
      </c>
    </row>
    <row r="76" spans="1:7" ht="14.25" customHeight="1">
      <c r="B76" s="462" t="s">
        <v>278</v>
      </c>
      <c r="C76" s="462"/>
      <c r="D76" s="462"/>
      <c r="E76" s="462"/>
      <c r="F76" s="462"/>
      <c r="G76" s="462"/>
    </row>
    <row r="77" spans="1:7">
      <c r="B77" s="98" t="s">
        <v>285</v>
      </c>
      <c r="C77" s="98" t="s">
        <v>432</v>
      </c>
      <c r="D77" s="455" t="s">
        <v>279</v>
      </c>
    </row>
    <row r="78" spans="1:7">
      <c r="B78" s="114"/>
      <c r="C78" s="100"/>
      <c r="D78" s="456"/>
    </row>
    <row r="79" spans="1:7" ht="14.25" customHeight="1">
      <c r="B79" s="99" t="s">
        <v>284</v>
      </c>
      <c r="C79" s="99" t="s">
        <v>283</v>
      </c>
      <c r="D79" s="456"/>
    </row>
    <row r="80" spans="1:7">
      <c r="B80" s="98" t="s">
        <v>285</v>
      </c>
      <c r="C80" s="98" t="s">
        <v>282</v>
      </c>
      <c r="D80" s="455" t="s">
        <v>280</v>
      </c>
    </row>
    <row r="81" spans="1:8">
      <c r="B81" s="100"/>
      <c r="C81" s="100"/>
      <c r="D81" s="456"/>
    </row>
    <row r="82" spans="1:8">
      <c r="B82" s="99" t="s">
        <v>284</v>
      </c>
      <c r="C82" s="99" t="s">
        <v>315</v>
      </c>
      <c r="D82" s="456"/>
    </row>
    <row r="83" spans="1:8">
      <c r="B83" s="98" t="s">
        <v>285</v>
      </c>
      <c r="C83" s="98" t="s">
        <v>316</v>
      </c>
      <c r="D83" s="455" t="s">
        <v>288</v>
      </c>
    </row>
    <row r="84" spans="1:8">
      <c r="B84" s="100"/>
      <c r="C84" s="100"/>
      <c r="D84" s="456"/>
    </row>
    <row r="85" spans="1:8">
      <c r="B85" s="99" t="s">
        <v>284</v>
      </c>
      <c r="C85" s="99" t="s">
        <v>433</v>
      </c>
      <c r="D85" s="456"/>
    </row>
    <row r="87" spans="1:8">
      <c r="B87" s="461" t="s">
        <v>289</v>
      </c>
      <c r="C87" s="462"/>
      <c r="D87" s="462"/>
      <c r="E87" s="462"/>
      <c r="F87" s="462"/>
      <c r="G87" s="462"/>
    </row>
    <row r="88" spans="1:8">
      <c r="B88" s="117"/>
      <c r="C88" s="118"/>
      <c r="D88" s="118"/>
      <c r="E88" s="118"/>
      <c r="F88" s="118"/>
      <c r="G88" s="118"/>
    </row>
    <row r="89" spans="1:8">
      <c r="B89" s="86" t="s">
        <v>396</v>
      </c>
      <c r="C89" s="447" t="s">
        <v>403</v>
      </c>
      <c r="D89" s="448"/>
      <c r="E89" s="118"/>
      <c r="F89" s="118"/>
      <c r="G89" s="118"/>
    </row>
    <row r="90" spans="1:8">
      <c r="B90" s="119" t="s">
        <v>397</v>
      </c>
      <c r="C90" s="447" t="s">
        <v>399</v>
      </c>
      <c r="D90" s="448"/>
      <c r="E90" s="118"/>
      <c r="F90" s="118"/>
      <c r="G90" s="118"/>
    </row>
    <row r="91" spans="1:8">
      <c r="B91" s="119" t="s">
        <v>398</v>
      </c>
      <c r="C91" s="447" t="s">
        <v>401</v>
      </c>
      <c r="D91" s="448"/>
      <c r="E91" s="118"/>
      <c r="F91" s="118"/>
      <c r="G91" s="118"/>
    </row>
    <row r="92" spans="1:8" ht="19.5" customHeight="1">
      <c r="B92" s="119" t="s">
        <v>400</v>
      </c>
      <c r="C92" s="447" t="s">
        <v>402</v>
      </c>
      <c r="D92" s="448"/>
    </row>
    <row r="95" spans="1:8" ht="42.75" customHeight="1">
      <c r="A95" s="88" t="s">
        <v>291</v>
      </c>
    </row>
    <row r="96" spans="1:8" ht="25.5" customHeight="1">
      <c r="B96" s="110" t="s">
        <v>301</v>
      </c>
      <c r="C96" s="110" t="s">
        <v>312</v>
      </c>
      <c r="D96" s="457" t="s">
        <v>311</v>
      </c>
      <c r="E96" s="457"/>
      <c r="F96" s="457"/>
      <c r="G96" s="457"/>
      <c r="H96" s="110" t="s">
        <v>320</v>
      </c>
    </row>
    <row r="97" spans="2:8">
      <c r="B97" s="105" t="s">
        <v>292</v>
      </c>
      <c r="C97" s="101" t="s">
        <v>313</v>
      </c>
      <c r="D97" s="445" t="s">
        <v>415</v>
      </c>
      <c r="E97" s="446"/>
      <c r="F97" s="446"/>
      <c r="G97" s="446"/>
      <c r="H97" s="108" t="s">
        <v>323</v>
      </c>
    </row>
    <row r="98" spans="2:8" ht="46.5" customHeight="1">
      <c r="B98" s="105" t="s">
        <v>293</v>
      </c>
      <c r="C98" s="101" t="s">
        <v>313</v>
      </c>
      <c r="D98" s="445" t="s">
        <v>416</v>
      </c>
      <c r="E98" s="446"/>
      <c r="F98" s="446"/>
      <c r="G98" s="446"/>
      <c r="H98" s="108" t="s">
        <v>323</v>
      </c>
    </row>
    <row r="99" spans="2:8" ht="101.25" customHeight="1">
      <c r="B99" s="106" t="s">
        <v>294</v>
      </c>
      <c r="C99" s="102" t="s">
        <v>314</v>
      </c>
      <c r="D99" s="445" t="s">
        <v>600</v>
      </c>
      <c r="E99" s="446"/>
      <c r="F99" s="446"/>
      <c r="G99" s="446"/>
      <c r="H99" s="108" t="s">
        <v>324</v>
      </c>
    </row>
    <row r="100" spans="2:8" ht="45.75" customHeight="1">
      <c r="B100" s="105" t="s">
        <v>295</v>
      </c>
      <c r="C100" s="103" t="s">
        <v>314</v>
      </c>
      <c r="D100" s="445" t="s">
        <v>437</v>
      </c>
      <c r="E100" s="446"/>
      <c r="F100" s="446"/>
      <c r="G100" s="446"/>
      <c r="H100" s="108" t="s">
        <v>324</v>
      </c>
    </row>
    <row r="101" spans="2:8">
      <c r="B101" s="105" t="s">
        <v>296</v>
      </c>
      <c r="C101" s="104" t="s">
        <v>313</v>
      </c>
      <c r="D101" s="445" t="s">
        <v>417</v>
      </c>
      <c r="E101" s="446"/>
      <c r="F101" s="446"/>
      <c r="G101" s="446"/>
      <c r="H101" s="108" t="s">
        <v>323</v>
      </c>
    </row>
    <row r="102" spans="2:8">
      <c r="B102" s="105" t="s">
        <v>297</v>
      </c>
      <c r="C102" s="104" t="s">
        <v>313</v>
      </c>
      <c r="D102" s="445" t="s">
        <v>419</v>
      </c>
      <c r="E102" s="446"/>
      <c r="F102" s="446"/>
      <c r="G102" s="446"/>
      <c r="H102" s="108" t="s">
        <v>323</v>
      </c>
    </row>
    <row r="103" spans="2:8" ht="48" customHeight="1">
      <c r="B103" s="105" t="s">
        <v>298</v>
      </c>
      <c r="C103" s="103" t="s">
        <v>314</v>
      </c>
      <c r="D103" s="445" t="s">
        <v>420</v>
      </c>
      <c r="E103" s="446"/>
      <c r="F103" s="446"/>
      <c r="G103" s="446"/>
      <c r="H103" s="108" t="s">
        <v>326</v>
      </c>
    </row>
    <row r="104" spans="2:8">
      <c r="B104" s="105" t="s">
        <v>299</v>
      </c>
      <c r="C104" s="104" t="s">
        <v>313</v>
      </c>
      <c r="D104" s="445" t="s">
        <v>421</v>
      </c>
      <c r="E104" s="446"/>
      <c r="F104" s="446"/>
      <c r="G104" s="446"/>
      <c r="H104" s="108" t="s">
        <v>325</v>
      </c>
    </row>
    <row r="105" spans="2:8" ht="47.25" customHeight="1">
      <c r="B105" s="105" t="s">
        <v>300</v>
      </c>
      <c r="C105" s="104" t="s">
        <v>313</v>
      </c>
      <c r="D105" s="445" t="s">
        <v>422</v>
      </c>
      <c r="E105" s="446"/>
      <c r="F105" s="446"/>
      <c r="G105" s="446"/>
      <c r="H105" s="108" t="s">
        <v>325</v>
      </c>
    </row>
    <row r="106" spans="2:8" ht="49.5" customHeight="1">
      <c r="B106" s="106" t="s">
        <v>350</v>
      </c>
      <c r="C106" s="103" t="s">
        <v>314</v>
      </c>
      <c r="D106" s="445" t="s">
        <v>438</v>
      </c>
      <c r="E106" s="446"/>
      <c r="F106" s="446"/>
      <c r="G106" s="446"/>
      <c r="H106" s="108" t="s">
        <v>326</v>
      </c>
    </row>
    <row r="107" spans="2:8" ht="113.25" customHeight="1">
      <c r="B107" s="106" t="s">
        <v>303</v>
      </c>
      <c r="C107" s="103" t="s">
        <v>314</v>
      </c>
      <c r="D107" s="445" t="s">
        <v>650</v>
      </c>
      <c r="E107" s="446"/>
      <c r="F107" s="446"/>
      <c r="G107" s="446"/>
      <c r="H107" s="108" t="s">
        <v>326</v>
      </c>
    </row>
    <row r="108" spans="2:8" ht="28.5">
      <c r="B108" s="107" t="s">
        <v>304</v>
      </c>
      <c r="C108" s="104" t="s">
        <v>313</v>
      </c>
      <c r="D108" s="445" t="s">
        <v>439</v>
      </c>
      <c r="E108" s="446"/>
      <c r="F108" s="446"/>
      <c r="G108" s="446"/>
      <c r="H108" s="109" t="s">
        <v>321</v>
      </c>
    </row>
    <row r="109" spans="2:8" ht="32.25" customHeight="1">
      <c r="B109" s="106" t="s">
        <v>305</v>
      </c>
      <c r="C109" s="104" t="s">
        <v>313</v>
      </c>
      <c r="D109" s="445" t="s">
        <v>317</v>
      </c>
      <c r="E109" s="446"/>
      <c r="F109" s="446"/>
      <c r="G109" s="446"/>
      <c r="H109" s="108" t="s">
        <v>325</v>
      </c>
    </row>
    <row r="110" spans="2:8" ht="35.25" customHeight="1">
      <c r="B110" s="106" t="s">
        <v>344</v>
      </c>
      <c r="C110" s="103" t="s">
        <v>314</v>
      </c>
      <c r="D110" s="445" t="s">
        <v>440</v>
      </c>
      <c r="E110" s="446"/>
      <c r="F110" s="446"/>
      <c r="G110" s="446"/>
      <c r="H110" s="108" t="s">
        <v>323</v>
      </c>
    </row>
    <row r="111" spans="2:8" ht="28.5">
      <c r="B111" s="107" t="s">
        <v>343</v>
      </c>
      <c r="C111" s="103" t="s">
        <v>314</v>
      </c>
      <c r="D111" s="445" t="s">
        <v>318</v>
      </c>
      <c r="E111" s="446"/>
      <c r="F111" s="446"/>
      <c r="G111" s="446"/>
      <c r="H111" s="108" t="s">
        <v>323</v>
      </c>
    </row>
    <row r="112" spans="2:8" ht="179.25" customHeight="1">
      <c r="B112" s="105" t="s">
        <v>306</v>
      </c>
      <c r="C112" s="103" t="s">
        <v>314</v>
      </c>
      <c r="D112" s="445" t="s">
        <v>523</v>
      </c>
      <c r="E112" s="446"/>
      <c r="F112" s="446"/>
      <c r="G112" s="446"/>
      <c r="H112" s="108" t="s">
        <v>324</v>
      </c>
    </row>
    <row r="113" spans="2:10">
      <c r="B113" s="105" t="s">
        <v>307</v>
      </c>
      <c r="C113" s="103" t="s">
        <v>314</v>
      </c>
      <c r="D113" s="445" t="s">
        <v>345</v>
      </c>
      <c r="E113" s="446"/>
      <c r="F113" s="446"/>
      <c r="G113" s="446"/>
      <c r="H113" s="108" t="s">
        <v>324</v>
      </c>
    </row>
    <row r="114" spans="2:10">
      <c r="B114" s="105" t="s">
        <v>308</v>
      </c>
      <c r="C114" s="103" t="s">
        <v>314</v>
      </c>
      <c r="D114" s="445" t="s">
        <v>346</v>
      </c>
      <c r="E114" s="446"/>
      <c r="F114" s="446"/>
      <c r="G114" s="446"/>
      <c r="H114" s="108" t="s">
        <v>324</v>
      </c>
    </row>
    <row r="115" spans="2:10">
      <c r="B115" s="105" t="s">
        <v>309</v>
      </c>
      <c r="C115" s="104" t="s">
        <v>313</v>
      </c>
      <c r="D115" s="445" t="s">
        <v>338</v>
      </c>
      <c r="E115" s="446"/>
      <c r="F115" s="446"/>
      <c r="G115" s="446"/>
      <c r="H115" s="108" t="s">
        <v>322</v>
      </c>
    </row>
    <row r="116" spans="2:10">
      <c r="B116" s="105" t="s">
        <v>310</v>
      </c>
      <c r="C116" s="104" t="s">
        <v>313</v>
      </c>
      <c r="D116" s="445" t="s">
        <v>319</v>
      </c>
      <c r="E116" s="446"/>
      <c r="F116" s="446"/>
      <c r="G116" s="446"/>
      <c r="H116" s="108" t="s">
        <v>322</v>
      </c>
    </row>
    <row r="118" spans="2:10" ht="15" thickBot="1">
      <c r="B118" s="77" t="s">
        <v>349</v>
      </c>
    </row>
    <row r="119" spans="2:10" ht="20.25" customHeight="1" thickBot="1">
      <c r="B119" s="135" t="s">
        <v>351</v>
      </c>
      <c r="C119" s="136" t="s">
        <v>460</v>
      </c>
      <c r="D119" s="444" t="s">
        <v>459</v>
      </c>
      <c r="E119" s="443"/>
      <c r="F119" s="442" t="s">
        <v>352</v>
      </c>
      <c r="G119" s="443"/>
      <c r="H119" s="444" t="s">
        <v>353</v>
      </c>
      <c r="I119" s="443"/>
      <c r="J119" s="129"/>
    </row>
    <row r="120" spans="2:10" ht="144.75" customHeight="1" thickBot="1">
      <c r="B120" s="112" t="s">
        <v>92</v>
      </c>
      <c r="C120" s="126" t="s">
        <v>454</v>
      </c>
      <c r="D120" s="406"/>
      <c r="E120" s="407"/>
      <c r="F120" s="406" t="s">
        <v>358</v>
      </c>
      <c r="G120" s="407"/>
      <c r="H120" s="406"/>
      <c r="I120" s="407"/>
    </row>
    <row r="121" spans="2:10" ht="147" customHeight="1" thickBot="1">
      <c r="B121" s="112" t="s">
        <v>93</v>
      </c>
      <c r="C121" s="126" t="s">
        <v>455</v>
      </c>
      <c r="D121" s="406"/>
      <c r="E121" s="407"/>
      <c r="F121" s="406" t="s">
        <v>359</v>
      </c>
      <c r="G121" s="407"/>
      <c r="H121" s="406" t="s">
        <v>354</v>
      </c>
      <c r="I121" s="407"/>
    </row>
    <row r="122" spans="2:10" ht="142.5" customHeight="1" thickBot="1">
      <c r="B122" s="112" t="s">
        <v>182</v>
      </c>
      <c r="C122" s="157" t="s">
        <v>572</v>
      </c>
      <c r="D122" s="406"/>
      <c r="E122" s="407"/>
      <c r="F122" s="406" t="s">
        <v>360</v>
      </c>
      <c r="G122" s="407"/>
      <c r="H122" s="406" t="s">
        <v>354</v>
      </c>
      <c r="I122" s="407"/>
    </row>
    <row r="123" spans="2:10" ht="145.5" customHeight="1" thickBot="1">
      <c r="B123" s="112" t="s">
        <v>59</v>
      </c>
      <c r="C123" s="126" t="s">
        <v>456</v>
      </c>
      <c r="D123" s="406"/>
      <c r="E123" s="407"/>
      <c r="F123" s="406" t="s">
        <v>571</v>
      </c>
      <c r="G123" s="407"/>
      <c r="H123" s="406" t="s">
        <v>570</v>
      </c>
      <c r="I123" s="441"/>
    </row>
    <row r="124" spans="2:10" ht="143.25" customHeight="1" thickBot="1">
      <c r="B124" s="112" t="s">
        <v>185</v>
      </c>
      <c r="C124" s="126" t="s">
        <v>457</v>
      </c>
      <c r="D124" s="406"/>
      <c r="E124" s="407"/>
      <c r="F124" s="406" t="s">
        <v>361</v>
      </c>
      <c r="G124" s="407"/>
      <c r="H124" s="406" t="s">
        <v>357</v>
      </c>
      <c r="I124" s="441"/>
    </row>
    <row r="125" spans="2:10" ht="140.25" customHeight="1" thickBot="1">
      <c r="B125" s="112" t="s">
        <v>187</v>
      </c>
      <c r="C125" s="126" t="s">
        <v>458</v>
      </c>
      <c r="D125" s="406"/>
      <c r="E125" s="407"/>
      <c r="F125" s="406" t="s">
        <v>361</v>
      </c>
      <c r="G125" s="407"/>
      <c r="H125" s="406" t="s">
        <v>356</v>
      </c>
      <c r="I125" s="441"/>
    </row>
    <row r="127" spans="2:10">
      <c r="B127" s="413" t="s">
        <v>461</v>
      </c>
      <c r="C127" s="414"/>
      <c r="D127" s="414"/>
    </row>
    <row r="129" spans="2:5" ht="15" thickBot="1">
      <c r="B129" s="77" t="s">
        <v>347</v>
      </c>
    </row>
    <row r="130" spans="2:5" ht="16.5" thickBot="1">
      <c r="B130" s="111" t="s">
        <v>336</v>
      </c>
      <c r="C130" s="141" t="s">
        <v>302</v>
      </c>
      <c r="D130" s="406" t="s">
        <v>472</v>
      </c>
      <c r="E130" s="407"/>
    </row>
    <row r="131" spans="2:5" ht="50.25" customHeight="1" thickBot="1">
      <c r="B131" s="112" t="s">
        <v>98</v>
      </c>
      <c r="C131" s="130" t="s">
        <v>327</v>
      </c>
      <c r="D131" s="408"/>
      <c r="E131" s="409"/>
    </row>
    <row r="132" spans="2:5" ht="48.75" customHeight="1" thickBot="1">
      <c r="B132" s="112" t="s">
        <v>100</v>
      </c>
      <c r="C132" s="126" t="s">
        <v>328</v>
      </c>
      <c r="D132" s="406"/>
      <c r="E132" s="407"/>
    </row>
    <row r="133" spans="2:5" ht="88.5" customHeight="1" thickBot="1">
      <c r="B133" s="112" t="s">
        <v>99</v>
      </c>
      <c r="C133" s="126" t="s">
        <v>329</v>
      </c>
      <c r="D133" s="406"/>
      <c r="E133" s="407"/>
    </row>
    <row r="134" spans="2:5" ht="149.25" customHeight="1" thickBot="1">
      <c r="B134" s="113" t="s">
        <v>54</v>
      </c>
      <c r="C134" s="126" t="s">
        <v>330</v>
      </c>
      <c r="D134" s="406"/>
      <c r="E134" s="407"/>
    </row>
    <row r="135" spans="2:5" ht="149.25" customHeight="1" thickBot="1">
      <c r="B135" s="113" t="s">
        <v>53</v>
      </c>
      <c r="C135" s="126" t="s">
        <v>331</v>
      </c>
      <c r="D135" s="406"/>
      <c r="E135" s="407"/>
    </row>
    <row r="136" spans="2:5" ht="149.25" customHeight="1" thickBot="1">
      <c r="B136" s="113" t="s">
        <v>52</v>
      </c>
      <c r="C136" s="126" t="s">
        <v>332</v>
      </c>
      <c r="D136" s="406"/>
      <c r="E136" s="407"/>
    </row>
    <row r="137" spans="2:5" ht="145.5" customHeight="1" thickBot="1">
      <c r="B137" s="113" t="s">
        <v>103</v>
      </c>
      <c r="C137" s="126" t="s">
        <v>333</v>
      </c>
      <c r="D137" s="406"/>
      <c r="E137" s="407"/>
    </row>
    <row r="138" spans="2:5" ht="148.5" customHeight="1" thickBot="1">
      <c r="B138" s="113" t="s">
        <v>530</v>
      </c>
      <c r="C138" s="126" t="s">
        <v>337</v>
      </c>
      <c r="D138" s="406"/>
      <c r="E138" s="407"/>
    </row>
    <row r="139" spans="2:5" ht="163.5" customHeight="1" thickBot="1">
      <c r="B139" s="113" t="s">
        <v>51</v>
      </c>
      <c r="C139" s="126" t="s">
        <v>334</v>
      </c>
      <c r="D139" s="406"/>
      <c r="E139" s="407"/>
    </row>
    <row r="140" spans="2:5" ht="150.75" customHeight="1" thickBot="1">
      <c r="B140" s="113" t="s">
        <v>55</v>
      </c>
      <c r="C140" s="126" t="s">
        <v>335</v>
      </c>
      <c r="D140" s="406"/>
      <c r="E140" s="407"/>
    </row>
    <row r="142" spans="2:5" ht="32.25" customHeight="1">
      <c r="B142" s="413"/>
      <c r="C142" s="414"/>
      <c r="D142" s="414"/>
    </row>
    <row r="143" spans="2:5" s="130" customFormat="1">
      <c r="B143" s="127"/>
      <c r="C143" s="128"/>
      <c r="D143" s="128"/>
    </row>
    <row r="144" spans="2:5" s="130" customFormat="1">
      <c r="B144" s="127"/>
      <c r="C144" s="128"/>
      <c r="D144" s="128"/>
    </row>
    <row r="145" spans="1:7" ht="15" thickBot="1">
      <c r="B145" s="77" t="s">
        <v>348</v>
      </c>
    </row>
    <row r="146" spans="1:7" ht="16.5" thickBot="1">
      <c r="B146" s="415" t="s">
        <v>341</v>
      </c>
      <c r="C146" s="416"/>
      <c r="D146" s="415" t="s">
        <v>302</v>
      </c>
      <c r="E146" s="423"/>
      <c r="F146" s="424"/>
      <c r="G146" s="425"/>
    </row>
    <row r="147" spans="1:7" ht="305.25" customHeight="1" thickBot="1">
      <c r="B147" s="417" t="s">
        <v>649</v>
      </c>
      <c r="C147" s="418"/>
      <c r="D147" s="419" t="s">
        <v>538</v>
      </c>
      <c r="E147" s="420"/>
      <c r="F147" s="421"/>
      <c r="G147" s="422"/>
    </row>
    <row r="148" spans="1:7" ht="45.75" customHeight="1" thickBot="1">
      <c r="B148" s="417" t="s">
        <v>339</v>
      </c>
      <c r="C148" s="418"/>
      <c r="D148" s="406" t="s">
        <v>340</v>
      </c>
      <c r="E148" s="426"/>
      <c r="F148" s="427"/>
      <c r="G148" s="428"/>
    </row>
    <row r="149" spans="1:7" ht="15" customHeight="1"/>
    <row r="150" spans="1:7" ht="41.25" customHeight="1">
      <c r="B150" s="413" t="s">
        <v>473</v>
      </c>
      <c r="C150" s="414"/>
      <c r="D150" s="414"/>
      <c r="E150" s="414"/>
      <c r="F150" s="414"/>
      <c r="G150" s="414"/>
    </row>
    <row r="154" spans="1:7" ht="28.5">
      <c r="A154" s="88" t="s">
        <v>342</v>
      </c>
    </row>
    <row r="155" spans="1:7" ht="56.25" customHeight="1">
      <c r="B155" s="413" t="s">
        <v>474</v>
      </c>
      <c r="C155" s="414"/>
      <c r="D155" s="414"/>
      <c r="E155" s="414"/>
      <c r="F155" s="414"/>
      <c r="G155" s="414"/>
    </row>
    <row r="156" spans="1:7">
      <c r="B156" s="77" t="s">
        <v>362</v>
      </c>
    </row>
    <row r="157" spans="1:7">
      <c r="B157" s="68" t="s">
        <v>527</v>
      </c>
      <c r="C157" s="68" t="s">
        <v>60</v>
      </c>
      <c r="D157" s="70" t="s">
        <v>66</v>
      </c>
      <c r="E157" s="70" t="s">
        <v>67</v>
      </c>
      <c r="F157" s="70" t="s">
        <v>69</v>
      </c>
      <c r="G157" s="68" t="s">
        <v>62</v>
      </c>
    </row>
    <row r="158" spans="1:7" ht="42.75">
      <c r="B158" s="115" t="s">
        <v>364</v>
      </c>
      <c r="C158" s="71" t="s">
        <v>154</v>
      </c>
      <c r="D158" s="71" t="s">
        <v>153</v>
      </c>
      <c r="E158" s="71"/>
      <c r="F158" s="69"/>
      <c r="G158" s="73" t="s">
        <v>70</v>
      </c>
    </row>
    <row r="159" spans="1:7" ht="42.75">
      <c r="B159" s="69"/>
      <c r="C159" s="71" t="s">
        <v>155</v>
      </c>
      <c r="D159" s="71" t="s">
        <v>160</v>
      </c>
      <c r="E159" s="71"/>
      <c r="F159" s="69"/>
      <c r="G159" s="73" t="s">
        <v>70</v>
      </c>
    </row>
    <row r="160" spans="1:7" ht="42.75">
      <c r="B160" s="69"/>
      <c r="C160" s="71" t="s">
        <v>156</v>
      </c>
      <c r="D160" s="71" t="s">
        <v>157</v>
      </c>
      <c r="E160" s="71" t="s">
        <v>178</v>
      </c>
      <c r="F160" s="69"/>
      <c r="G160" s="73" t="s">
        <v>70</v>
      </c>
    </row>
    <row r="162" spans="1:8">
      <c r="B162" s="413" t="s">
        <v>475</v>
      </c>
      <c r="C162" s="414"/>
      <c r="D162" s="414"/>
      <c r="E162" s="414"/>
      <c r="F162" s="414"/>
      <c r="G162" s="414"/>
    </row>
    <row r="163" spans="1:8">
      <c r="B163" s="414"/>
      <c r="C163" s="414"/>
      <c r="D163" s="414"/>
      <c r="E163" s="414"/>
      <c r="F163" s="414"/>
      <c r="G163" s="414"/>
    </row>
    <row r="165" spans="1:8">
      <c r="B165" s="77" t="s">
        <v>363</v>
      </c>
    </row>
    <row r="166" spans="1:8">
      <c r="B166" s="70" t="s">
        <v>71</v>
      </c>
      <c r="C166" s="70" t="s">
        <v>72</v>
      </c>
      <c r="D166" s="70" t="s">
        <v>63</v>
      </c>
      <c r="E166" s="70" t="s">
        <v>159</v>
      </c>
      <c r="F166" s="70" t="s">
        <v>64</v>
      </c>
      <c r="G166" s="70" t="s">
        <v>65</v>
      </c>
      <c r="H166" s="68" t="s">
        <v>62</v>
      </c>
    </row>
    <row r="167" spans="1:8" ht="96.75" customHeight="1">
      <c r="B167" s="71" t="s">
        <v>73</v>
      </c>
      <c r="C167" s="69" t="s">
        <v>77</v>
      </c>
      <c r="D167" s="71" t="s">
        <v>75</v>
      </c>
      <c r="E167" s="71" t="s">
        <v>158</v>
      </c>
      <c r="F167" s="71"/>
      <c r="G167" s="69"/>
      <c r="H167" s="72" t="s">
        <v>80</v>
      </c>
    </row>
    <row r="168" spans="1:8" ht="38.25" customHeight="1">
      <c r="B168" s="71" t="s">
        <v>74</v>
      </c>
      <c r="C168" s="71" t="s">
        <v>79</v>
      </c>
      <c r="D168" s="71" t="s">
        <v>68</v>
      </c>
      <c r="E168" s="71" t="s">
        <v>158</v>
      </c>
      <c r="F168" s="69"/>
      <c r="G168" s="69"/>
      <c r="H168" s="72"/>
    </row>
    <row r="170" spans="1:8">
      <c r="B170" s="413" t="s">
        <v>476</v>
      </c>
      <c r="C170" s="414"/>
      <c r="D170" s="414"/>
      <c r="E170" s="414"/>
      <c r="F170" s="414"/>
      <c r="G170" s="414"/>
    </row>
    <row r="171" spans="1:8" ht="57.75" customHeight="1">
      <c r="B171" s="414"/>
      <c r="C171" s="414"/>
      <c r="D171" s="414"/>
      <c r="E171" s="414"/>
      <c r="F171" s="414"/>
      <c r="G171" s="414"/>
    </row>
    <row r="175" spans="1:8" ht="28.5">
      <c r="A175" s="88" t="s">
        <v>365</v>
      </c>
    </row>
    <row r="176" spans="1:8" ht="28.5" customHeight="1">
      <c r="B176" s="413" t="s">
        <v>477</v>
      </c>
      <c r="C176" s="414"/>
      <c r="D176" s="414"/>
      <c r="E176" s="414"/>
      <c r="F176" s="414"/>
      <c r="G176" s="414"/>
    </row>
    <row r="178" spans="2:6">
      <c r="B178" s="77" t="s">
        <v>366</v>
      </c>
    </row>
    <row r="179" spans="2:6">
      <c r="B179" s="110" t="s">
        <v>367</v>
      </c>
      <c r="C179" s="432" t="s">
        <v>368</v>
      </c>
      <c r="D179" s="433"/>
      <c r="E179" s="434"/>
    </row>
    <row r="180" spans="2:6" ht="33.75" customHeight="1">
      <c r="B180" s="87" t="s">
        <v>371</v>
      </c>
      <c r="C180" s="410" t="s">
        <v>373</v>
      </c>
      <c r="D180" s="411"/>
      <c r="E180" s="412"/>
    </row>
    <row r="181" spans="2:6" ht="32.25" customHeight="1">
      <c r="B181" s="87" t="s">
        <v>369</v>
      </c>
      <c r="C181" s="410" t="s">
        <v>478</v>
      </c>
      <c r="D181" s="411"/>
      <c r="E181" s="412"/>
    </row>
    <row r="182" spans="2:6" ht="14.25" customHeight="1">
      <c r="B182" s="87" t="s">
        <v>370</v>
      </c>
      <c r="C182" s="410" t="s">
        <v>372</v>
      </c>
      <c r="D182" s="411"/>
      <c r="E182" s="412"/>
    </row>
    <row r="185" spans="2:6">
      <c r="B185" s="66" t="s">
        <v>374</v>
      </c>
      <c r="C185" s="65"/>
      <c r="D185" s="65"/>
      <c r="E185" s="65"/>
      <c r="F185" s="65"/>
    </row>
    <row r="186" spans="2:6">
      <c r="B186" s="438" t="s">
        <v>81</v>
      </c>
      <c r="C186" s="79" t="s">
        <v>270</v>
      </c>
      <c r="D186" s="116" t="s">
        <v>406</v>
      </c>
      <c r="E186" s="79" t="s">
        <v>290</v>
      </c>
      <c r="F186" s="79" t="s">
        <v>624</v>
      </c>
    </row>
    <row r="187" spans="2:6">
      <c r="B187" s="439"/>
      <c r="C187" s="79" t="s">
        <v>87</v>
      </c>
      <c r="D187" s="80">
        <v>12</v>
      </c>
      <c r="E187" s="79" t="s">
        <v>90</v>
      </c>
      <c r="F187" s="79" t="s">
        <v>143</v>
      </c>
    </row>
    <row r="188" spans="2:6">
      <c r="B188" s="440"/>
      <c r="C188" s="79" t="s">
        <v>88</v>
      </c>
      <c r="D188" s="80">
        <v>32</v>
      </c>
      <c r="E188" s="79" t="s">
        <v>287</v>
      </c>
      <c r="F188" s="79" t="s">
        <v>144</v>
      </c>
    </row>
    <row r="190" spans="2:6">
      <c r="B190" s="110" t="s">
        <v>375</v>
      </c>
      <c r="C190" s="432" t="s">
        <v>368</v>
      </c>
      <c r="D190" s="433"/>
      <c r="E190" s="434"/>
    </row>
    <row r="191" spans="2:6" ht="34.5" customHeight="1">
      <c r="B191" s="87" t="s">
        <v>376</v>
      </c>
      <c r="C191" s="410" t="s">
        <v>377</v>
      </c>
      <c r="D191" s="411"/>
      <c r="E191" s="412"/>
    </row>
    <row r="192" spans="2:6">
      <c r="B192" s="87" t="s">
        <v>378</v>
      </c>
      <c r="C192" s="410" t="s">
        <v>380</v>
      </c>
      <c r="D192" s="411"/>
      <c r="E192" s="412"/>
    </row>
    <row r="193" spans="2:7">
      <c r="B193" s="87" t="s">
        <v>379</v>
      </c>
      <c r="C193" s="410" t="s">
        <v>384</v>
      </c>
      <c r="D193" s="411"/>
      <c r="E193" s="412"/>
    </row>
    <row r="194" spans="2:7" ht="53.25" customHeight="1">
      <c r="B194" s="87" t="s">
        <v>281</v>
      </c>
      <c r="C194" s="410" t="s">
        <v>601</v>
      </c>
      <c r="D194" s="411"/>
      <c r="E194" s="412"/>
    </row>
    <row r="195" spans="2:7" ht="26.25" customHeight="1">
      <c r="B195" s="87" t="s">
        <v>381</v>
      </c>
      <c r="C195" s="410" t="s">
        <v>383</v>
      </c>
      <c r="D195" s="411"/>
      <c r="E195" s="412"/>
    </row>
    <row r="196" spans="2:7" ht="27.75" customHeight="1">
      <c r="B196" s="87" t="s">
        <v>382</v>
      </c>
      <c r="C196" s="410" t="s">
        <v>385</v>
      </c>
      <c r="D196" s="411"/>
      <c r="E196" s="412"/>
    </row>
    <row r="198" spans="2:7">
      <c r="B198" s="66" t="s">
        <v>386</v>
      </c>
    </row>
    <row r="199" spans="2:7">
      <c r="B199" s="81" t="s">
        <v>141</v>
      </c>
      <c r="C199" s="81" t="s">
        <v>95</v>
      </c>
      <c r="D199" s="81" t="s">
        <v>390</v>
      </c>
      <c r="E199" s="81" t="s">
        <v>391</v>
      </c>
      <c r="F199" s="82" t="s">
        <v>146</v>
      </c>
      <c r="G199" s="81" t="s">
        <v>145</v>
      </c>
    </row>
    <row r="200" spans="2:7">
      <c r="B200" s="435" t="s">
        <v>147</v>
      </c>
      <c r="C200" s="82" t="s">
        <v>89</v>
      </c>
      <c r="D200" s="82">
        <v>11</v>
      </c>
      <c r="E200" s="82">
        <v>11</v>
      </c>
      <c r="F200" s="82" t="s">
        <v>92</v>
      </c>
      <c r="G200" s="81" t="s">
        <v>195</v>
      </c>
    </row>
    <row r="201" spans="2:7">
      <c r="B201" s="436"/>
      <c r="C201" s="81" t="s">
        <v>82</v>
      </c>
      <c r="D201" s="81">
        <v>10</v>
      </c>
      <c r="E201" s="82">
        <v>10</v>
      </c>
      <c r="F201" s="82" t="s">
        <v>93</v>
      </c>
      <c r="G201" s="81" t="s">
        <v>196</v>
      </c>
    </row>
    <row r="202" spans="2:7">
      <c r="B202" s="436"/>
      <c r="C202" s="81" t="s">
        <v>83</v>
      </c>
      <c r="D202" s="81">
        <v>9</v>
      </c>
      <c r="E202" s="82">
        <v>9</v>
      </c>
      <c r="F202" s="81" t="s">
        <v>182</v>
      </c>
      <c r="G202" s="81" t="s">
        <v>197</v>
      </c>
    </row>
    <row r="203" spans="2:7">
      <c r="B203" s="436"/>
      <c r="C203" s="81" t="s">
        <v>84</v>
      </c>
      <c r="D203" s="81">
        <v>8</v>
      </c>
      <c r="E203" s="82">
        <v>8</v>
      </c>
      <c r="F203" s="81" t="s">
        <v>59</v>
      </c>
      <c r="G203" s="81" t="s">
        <v>197</v>
      </c>
    </row>
    <row r="204" spans="2:7">
      <c r="B204" s="436"/>
      <c r="C204" s="81" t="s">
        <v>85</v>
      </c>
      <c r="D204" s="81">
        <v>7</v>
      </c>
      <c r="E204" s="82">
        <v>2</v>
      </c>
      <c r="F204" s="81" t="s">
        <v>185</v>
      </c>
      <c r="G204" s="81" t="s">
        <v>198</v>
      </c>
    </row>
    <row r="205" spans="2:7">
      <c r="B205" s="437"/>
      <c r="C205" s="81" t="s">
        <v>86</v>
      </c>
      <c r="D205" s="81">
        <v>1</v>
      </c>
      <c r="E205" s="82">
        <v>0</v>
      </c>
      <c r="F205" s="81" t="s">
        <v>187</v>
      </c>
      <c r="G205" s="81" t="s">
        <v>198</v>
      </c>
    </row>
    <row r="206" spans="2:7">
      <c r="B206" s="429" t="s">
        <v>149</v>
      </c>
      <c r="C206" s="81" t="s">
        <v>148</v>
      </c>
      <c r="D206" s="82">
        <v>7</v>
      </c>
      <c r="E206" s="82">
        <v>7</v>
      </c>
      <c r="F206" s="82" t="s">
        <v>92</v>
      </c>
      <c r="G206" s="81" t="s">
        <v>192</v>
      </c>
    </row>
    <row r="207" spans="2:7">
      <c r="B207" s="430"/>
      <c r="C207" s="81" t="s">
        <v>150</v>
      </c>
      <c r="D207" s="82">
        <v>6</v>
      </c>
      <c r="E207" s="82">
        <v>6</v>
      </c>
      <c r="F207" s="82" t="s">
        <v>93</v>
      </c>
      <c r="G207" s="81" t="s">
        <v>192</v>
      </c>
    </row>
    <row r="208" spans="2:7">
      <c r="B208" s="431"/>
      <c r="C208" s="81" t="s">
        <v>83</v>
      </c>
      <c r="D208" s="81">
        <v>5</v>
      </c>
      <c r="E208" s="81">
        <v>5</v>
      </c>
      <c r="F208" s="81" t="s">
        <v>182</v>
      </c>
      <c r="G208" s="81" t="s">
        <v>193</v>
      </c>
    </row>
    <row r="209" spans="2:7">
      <c r="B209" s="431"/>
      <c r="C209" s="81" t="s">
        <v>151</v>
      </c>
      <c r="D209" s="81">
        <v>4</v>
      </c>
      <c r="E209" s="81">
        <v>2</v>
      </c>
      <c r="F209" s="81" t="s">
        <v>183</v>
      </c>
      <c r="G209" s="81" t="s">
        <v>193</v>
      </c>
    </row>
    <row r="210" spans="2:7">
      <c r="B210" s="431"/>
      <c r="C210" s="82" t="s">
        <v>598</v>
      </c>
      <c r="D210" s="81">
        <v>1</v>
      </c>
      <c r="E210" s="81">
        <v>1</v>
      </c>
      <c r="F210" s="81" t="s">
        <v>185</v>
      </c>
      <c r="G210" s="81" t="s">
        <v>194</v>
      </c>
    </row>
    <row r="211" spans="2:7">
      <c r="B211" s="431"/>
      <c r="C211" s="81" t="s">
        <v>599</v>
      </c>
      <c r="D211" s="81">
        <v>0</v>
      </c>
      <c r="E211" s="82">
        <v>0</v>
      </c>
      <c r="F211" s="81" t="s">
        <v>187</v>
      </c>
      <c r="G211" s="81" t="s">
        <v>194</v>
      </c>
    </row>
    <row r="212" spans="2:7">
      <c r="B212" s="429" t="s">
        <v>152</v>
      </c>
      <c r="C212" s="81" t="s">
        <v>148</v>
      </c>
      <c r="D212" s="82">
        <v>4</v>
      </c>
      <c r="E212" s="82">
        <v>4</v>
      </c>
      <c r="F212" s="82" t="s">
        <v>92</v>
      </c>
      <c r="G212" s="81" t="s">
        <v>188</v>
      </c>
    </row>
    <row r="213" spans="2:7">
      <c r="B213" s="430"/>
      <c r="C213" s="81" t="s">
        <v>150</v>
      </c>
      <c r="D213" s="82">
        <v>3</v>
      </c>
      <c r="E213" s="82">
        <v>3</v>
      </c>
      <c r="F213" s="82" t="s">
        <v>93</v>
      </c>
      <c r="G213" s="81" t="s">
        <v>189</v>
      </c>
    </row>
    <row r="214" spans="2:7">
      <c r="B214" s="431"/>
      <c r="C214" s="81" t="s">
        <v>83</v>
      </c>
      <c r="D214" s="82">
        <v>2</v>
      </c>
      <c r="E214" s="82">
        <v>2</v>
      </c>
      <c r="F214" s="81" t="s">
        <v>182</v>
      </c>
      <c r="G214" s="81" t="s">
        <v>190</v>
      </c>
    </row>
    <row r="215" spans="2:7">
      <c r="B215" s="431"/>
      <c r="C215" s="81" t="s">
        <v>151</v>
      </c>
      <c r="D215" s="82">
        <v>1</v>
      </c>
      <c r="E215" s="82">
        <v>0</v>
      </c>
      <c r="F215" s="81" t="s">
        <v>183</v>
      </c>
      <c r="G215" s="81" t="s">
        <v>190</v>
      </c>
    </row>
    <row r="216" spans="2:7">
      <c r="B216" s="431"/>
      <c r="C216" s="82"/>
      <c r="D216" s="82"/>
      <c r="E216" s="82"/>
      <c r="F216" s="81" t="s">
        <v>185</v>
      </c>
      <c r="G216" s="82" t="s">
        <v>191</v>
      </c>
    </row>
    <row r="217" spans="2:7">
      <c r="B217" s="431"/>
      <c r="C217" s="82"/>
      <c r="D217" s="82"/>
      <c r="E217" s="82"/>
      <c r="F217" s="81" t="s">
        <v>187</v>
      </c>
      <c r="G217" s="82" t="s">
        <v>191</v>
      </c>
    </row>
    <row r="218" spans="2:7" s="196" customFormat="1">
      <c r="B218" s="429" t="s">
        <v>592</v>
      </c>
      <c r="C218" s="81" t="s">
        <v>148</v>
      </c>
      <c r="D218" s="82">
        <v>5</v>
      </c>
      <c r="E218" s="82">
        <v>5</v>
      </c>
      <c r="F218" s="82" t="s">
        <v>92</v>
      </c>
      <c r="G218" s="81" t="s">
        <v>595</v>
      </c>
    </row>
    <row r="219" spans="2:7" s="196" customFormat="1">
      <c r="B219" s="430"/>
      <c r="C219" s="81" t="s">
        <v>150</v>
      </c>
      <c r="D219" s="82">
        <v>4</v>
      </c>
      <c r="E219" s="82">
        <v>4</v>
      </c>
      <c r="F219" s="82" t="s">
        <v>93</v>
      </c>
      <c r="G219" s="81" t="s">
        <v>596</v>
      </c>
    </row>
    <row r="220" spans="2:7" s="196" customFormat="1">
      <c r="B220" s="431"/>
      <c r="C220" s="81" t="s">
        <v>83</v>
      </c>
      <c r="D220" s="82">
        <v>3</v>
      </c>
      <c r="E220" s="82">
        <v>3</v>
      </c>
      <c r="F220" s="81" t="s">
        <v>182</v>
      </c>
      <c r="G220" s="81" t="s">
        <v>594</v>
      </c>
    </row>
    <row r="221" spans="2:7" s="196" customFormat="1">
      <c r="B221" s="431"/>
      <c r="C221" s="81" t="s">
        <v>151</v>
      </c>
      <c r="D221" s="82">
        <v>2</v>
      </c>
      <c r="E221" s="82">
        <v>1</v>
      </c>
      <c r="F221" s="81" t="s">
        <v>183</v>
      </c>
      <c r="G221" s="81" t="s">
        <v>594</v>
      </c>
    </row>
    <row r="222" spans="2:7" s="196" customFormat="1">
      <c r="B222" s="431"/>
      <c r="C222" s="82" t="s">
        <v>593</v>
      </c>
      <c r="D222" s="82">
        <v>0</v>
      </c>
      <c r="E222" s="82">
        <v>0</v>
      </c>
      <c r="F222" s="81" t="s">
        <v>185</v>
      </c>
      <c r="G222" s="82" t="s">
        <v>597</v>
      </c>
    </row>
    <row r="223" spans="2:7" s="196" customFormat="1">
      <c r="B223" s="431"/>
      <c r="C223" s="82"/>
      <c r="D223" s="82"/>
      <c r="E223" s="82"/>
      <c r="F223" s="81" t="s">
        <v>187</v>
      </c>
      <c r="G223" s="82" t="s">
        <v>597</v>
      </c>
    </row>
    <row r="226" spans="1:7">
      <c r="B226" s="110" t="s">
        <v>388</v>
      </c>
      <c r="C226" s="432" t="s">
        <v>368</v>
      </c>
      <c r="D226" s="433"/>
      <c r="E226" s="434"/>
    </row>
    <row r="227" spans="1:7">
      <c r="B227" s="87" t="s">
        <v>387</v>
      </c>
      <c r="C227" s="410" t="s">
        <v>673</v>
      </c>
      <c r="D227" s="411"/>
      <c r="E227" s="412"/>
    </row>
    <row r="228" spans="1:7" ht="64.5" customHeight="1">
      <c r="B228" s="87" t="s">
        <v>302</v>
      </c>
      <c r="C228" s="410" t="s">
        <v>672</v>
      </c>
      <c r="D228" s="411"/>
      <c r="E228" s="412"/>
    </row>
    <row r="229" spans="1:7" ht="34.5" customHeight="1">
      <c r="B229" s="87" t="s">
        <v>389</v>
      </c>
      <c r="C229" s="410" t="s">
        <v>480</v>
      </c>
      <c r="D229" s="411"/>
      <c r="E229" s="412"/>
    </row>
    <row r="230" spans="1:7" ht="37.5" customHeight="1">
      <c r="B230" s="87" t="s">
        <v>392</v>
      </c>
      <c r="C230" s="410" t="s">
        <v>481</v>
      </c>
      <c r="D230" s="411"/>
      <c r="E230" s="412"/>
    </row>
    <row r="231" spans="1:7">
      <c r="B231" s="87" t="s">
        <v>393</v>
      </c>
      <c r="C231" s="458" t="s">
        <v>395</v>
      </c>
      <c r="D231" s="459"/>
      <c r="E231" s="460"/>
    </row>
    <row r="232" spans="1:7" ht="36" customHeight="1">
      <c r="B232" s="87" t="s">
        <v>394</v>
      </c>
      <c r="C232" s="410" t="s">
        <v>479</v>
      </c>
      <c r="D232" s="411"/>
      <c r="E232" s="412"/>
    </row>
    <row r="235" spans="1:7" s="120" customFormat="1"/>
    <row r="237" spans="1:7">
      <c r="A237" s="88" t="s">
        <v>407</v>
      </c>
    </row>
    <row r="238" spans="1:7" ht="44.25" customHeight="1">
      <c r="B238" s="413" t="s">
        <v>409</v>
      </c>
      <c r="C238" s="414"/>
      <c r="D238" s="414"/>
      <c r="E238" s="414"/>
      <c r="F238" s="414"/>
      <c r="G238" s="414"/>
    </row>
    <row r="239" spans="1:7" ht="74.25" customHeight="1">
      <c r="B239" s="413" t="s">
        <v>525</v>
      </c>
      <c r="C239" s="414"/>
      <c r="D239" s="414"/>
      <c r="E239" s="414"/>
      <c r="F239" s="414"/>
      <c r="G239" s="414"/>
    </row>
    <row r="240" spans="1:7" ht="19.5" customHeight="1">
      <c r="B240" s="85"/>
      <c r="C240" s="85"/>
      <c r="D240" s="85"/>
      <c r="E240" s="85"/>
      <c r="F240" s="85"/>
      <c r="G240" s="85"/>
    </row>
    <row r="243" spans="1:7" s="120" customFormat="1">
      <c r="A243" s="121" t="s">
        <v>423</v>
      </c>
    </row>
    <row r="244" spans="1:7">
      <c r="B244" s="123" t="s">
        <v>413</v>
      </c>
      <c r="C244" s="122" t="s">
        <v>412</v>
      </c>
    </row>
    <row r="245" spans="1:7" ht="147" customHeight="1">
      <c r="B245" s="413" t="s">
        <v>589</v>
      </c>
      <c r="C245" s="413"/>
      <c r="D245" s="413"/>
      <c r="E245" s="413"/>
      <c r="F245" s="413"/>
      <c r="G245" s="413"/>
    </row>
  </sheetData>
  <mergeCells count="116">
    <mergeCell ref="B245:G245"/>
    <mergeCell ref="B239:G239"/>
    <mergeCell ref="B35:G37"/>
    <mergeCell ref="B26:G26"/>
    <mergeCell ref="B28:G28"/>
    <mergeCell ref="B27:G27"/>
    <mergeCell ref="B29:G29"/>
    <mergeCell ref="B30:G30"/>
    <mergeCell ref="B31:E31"/>
    <mergeCell ref="B32:E32"/>
    <mergeCell ref="B33:E33"/>
    <mergeCell ref="B34:E34"/>
    <mergeCell ref="B87:G87"/>
    <mergeCell ref="B76:G76"/>
    <mergeCell ref="D97:G97"/>
    <mergeCell ref="D98:G98"/>
    <mergeCell ref="D99:G99"/>
    <mergeCell ref="C90:D90"/>
    <mergeCell ref="C91:D91"/>
    <mergeCell ref="C92:D92"/>
    <mergeCell ref="B43:E43"/>
    <mergeCell ref="B55:E55"/>
    <mergeCell ref="D101:G101"/>
    <mergeCell ref="D102:G102"/>
    <mergeCell ref="C89:D89"/>
    <mergeCell ref="B21:E21"/>
    <mergeCell ref="B3:G3"/>
    <mergeCell ref="B238:G238"/>
    <mergeCell ref="B127:D127"/>
    <mergeCell ref="B60:E60"/>
    <mergeCell ref="D77:D79"/>
    <mergeCell ref="D80:D82"/>
    <mergeCell ref="D83:D85"/>
    <mergeCell ref="D112:G112"/>
    <mergeCell ref="D113:G113"/>
    <mergeCell ref="D114:G114"/>
    <mergeCell ref="D115:G115"/>
    <mergeCell ref="D116:G116"/>
    <mergeCell ref="D96:G96"/>
    <mergeCell ref="D106:G106"/>
    <mergeCell ref="D107:G107"/>
    <mergeCell ref="D108:G108"/>
    <mergeCell ref="D109:G109"/>
    <mergeCell ref="D110:G110"/>
    <mergeCell ref="D111:G111"/>
    <mergeCell ref="D100:G100"/>
    <mergeCell ref="C230:E230"/>
    <mergeCell ref="C231:E231"/>
    <mergeCell ref="D103:G103"/>
    <mergeCell ref="D104:G104"/>
    <mergeCell ref="D105:G105"/>
    <mergeCell ref="D120:E120"/>
    <mergeCell ref="H121:I121"/>
    <mergeCell ref="H122:I122"/>
    <mergeCell ref="H123:I123"/>
    <mergeCell ref="D119:E119"/>
    <mergeCell ref="D121:E121"/>
    <mergeCell ref="D122:E122"/>
    <mergeCell ref="D123:E123"/>
    <mergeCell ref="H124:I124"/>
    <mergeCell ref="H125:I125"/>
    <mergeCell ref="F119:G119"/>
    <mergeCell ref="F120:G120"/>
    <mergeCell ref="F121:G121"/>
    <mergeCell ref="F122:G122"/>
    <mergeCell ref="F123:G123"/>
    <mergeCell ref="F124:G124"/>
    <mergeCell ref="F125:G125"/>
    <mergeCell ref="H119:I119"/>
    <mergeCell ref="H120:I120"/>
    <mergeCell ref="C232:E232"/>
    <mergeCell ref="C195:E195"/>
    <mergeCell ref="C196:E196"/>
    <mergeCell ref="B162:G163"/>
    <mergeCell ref="B170:G171"/>
    <mergeCell ref="B176:G176"/>
    <mergeCell ref="C180:E180"/>
    <mergeCell ref="C181:E181"/>
    <mergeCell ref="C182:E182"/>
    <mergeCell ref="C179:E179"/>
    <mergeCell ref="B200:B205"/>
    <mergeCell ref="B206:B211"/>
    <mergeCell ref="B212:B217"/>
    <mergeCell ref="C226:E226"/>
    <mergeCell ref="B186:B188"/>
    <mergeCell ref="C190:E190"/>
    <mergeCell ref="C191:E191"/>
    <mergeCell ref="C192:E192"/>
    <mergeCell ref="C193:E193"/>
    <mergeCell ref="C194:E194"/>
    <mergeCell ref="C228:E228"/>
    <mergeCell ref="C229:E229"/>
    <mergeCell ref="D124:E124"/>
    <mergeCell ref="D125:E125"/>
    <mergeCell ref="D131:E131"/>
    <mergeCell ref="D132:E132"/>
    <mergeCell ref="D133:E133"/>
    <mergeCell ref="D134:E134"/>
    <mergeCell ref="C227:E227"/>
    <mergeCell ref="B142:D142"/>
    <mergeCell ref="D135:E135"/>
    <mergeCell ref="D136:E136"/>
    <mergeCell ref="D137:E137"/>
    <mergeCell ref="D138:E138"/>
    <mergeCell ref="D139:E139"/>
    <mergeCell ref="D140:E140"/>
    <mergeCell ref="B155:G155"/>
    <mergeCell ref="B146:C146"/>
    <mergeCell ref="B147:C147"/>
    <mergeCell ref="B148:C148"/>
    <mergeCell ref="D147:G147"/>
    <mergeCell ref="D146:G146"/>
    <mergeCell ref="D148:G148"/>
    <mergeCell ref="B150:G150"/>
    <mergeCell ref="D130:E130"/>
    <mergeCell ref="B218:B223"/>
  </mergeCells>
  <phoneticPr fontId="40" type="noConversion"/>
  <dataValidations disablePrompts="1" count="3">
    <dataValidation type="list" allowBlank="1" showInputMessage="1" showErrorMessage="1" sqref="C244">
      <formula1>"是,否"</formula1>
    </dataValidation>
    <dataValidation type="list" allowBlank="1" showInputMessage="1" showErrorMessage="1" sqref="C167:C168">
      <formula1>"PD,PU,SUS,CTL,SL"</formula1>
    </dataValidation>
    <dataValidation type="list" allowBlank="1" showInputMessage="1" showErrorMessage="1" sqref="D186">
      <formula1>"SV interface,Verilog"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oleObjects>
    <oleObject progId="Visio.Drawing.11" shapeId="9218" r:id="rId3"/>
    <oleObject progId="Visio.Drawing.11" shapeId="9219" r:id="rId4"/>
    <oleObject progId="Visio.Drawing.11" shapeId="9220" r:id="rId5"/>
    <oleObject progId="Visio.Drawing.11" shapeId="9221" r:id="rId6"/>
    <oleObject progId="Visio.Drawing.11" shapeId="9222" r:id="rId7"/>
    <oleObject progId="Visio.Drawing.11" shapeId="9223" r:id="rId8"/>
    <oleObject progId="Visio.Drawing.11" shapeId="9225" r:id="rId9"/>
    <oleObject progId="Visio.Drawing.11" shapeId="9226" r:id="rId10"/>
    <oleObject progId="Visio.Drawing.11" shapeId="9228" r:id="rId11"/>
    <oleObject progId="Visio.Drawing.11" shapeId="9229" r:id="rId12"/>
    <oleObject progId="Visio.Drawing.11" shapeId="9233" r:id="rId13"/>
    <oleObject progId="Visio.Drawing.11" shapeId="9234" r:id="rId14"/>
    <oleObject progId="Visio.Drawing.11" shapeId="9238" r:id="rId15"/>
    <oleObject progId="Visio.Drawing.11" shapeId="9239" r:id="rId16"/>
    <oleObject progId="Visio.Drawing.11" shapeId="9240" r:id="rId17"/>
    <oleObject progId="Visio.Drawing.11" shapeId="9241" r:id="rId18"/>
    <oleObject progId="Visio.Drawing.11" shapeId="9242" r:id="rId19"/>
  </oleObjec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F34"/>
  <sheetViews>
    <sheetView workbookViewId="0">
      <selection activeCell="E20" sqref="E20"/>
    </sheetView>
  </sheetViews>
  <sheetFormatPr defaultColWidth="8.75" defaultRowHeight="14.25"/>
  <cols>
    <col min="1" max="1" width="8.75" style="148"/>
    <col min="2" max="2" width="16" style="279" bestFit="1" customWidth="1"/>
    <col min="3" max="6" width="24.25" style="279" bestFit="1" customWidth="1"/>
    <col min="7" max="16384" width="8.75" style="148"/>
  </cols>
  <sheetData>
    <row r="1" spans="1:6" ht="15">
      <c r="B1" s="149" t="s">
        <v>713</v>
      </c>
      <c r="C1" s="152" t="s">
        <v>568</v>
      </c>
      <c r="D1" s="152" t="s">
        <v>569</v>
      </c>
      <c r="E1" s="152" t="s">
        <v>795</v>
      </c>
      <c r="F1" s="152" t="s">
        <v>795</v>
      </c>
    </row>
    <row r="2" spans="1:6" ht="15">
      <c r="B2" s="154" t="s">
        <v>716</v>
      </c>
      <c r="C2" s="156" t="s">
        <v>716</v>
      </c>
      <c r="D2" s="156" t="s">
        <v>716</v>
      </c>
      <c r="E2" s="156" t="s">
        <v>716</v>
      </c>
      <c r="F2" s="156" t="s">
        <v>716</v>
      </c>
    </row>
    <row r="3" spans="1:6">
      <c r="B3" s="148"/>
      <c r="C3" s="148"/>
      <c r="D3" s="148"/>
      <c r="E3" s="148"/>
      <c r="F3" s="148"/>
    </row>
    <row r="4" spans="1:6">
      <c r="A4" s="288" t="s">
        <v>969</v>
      </c>
      <c r="B4" s="288" t="s">
        <v>971</v>
      </c>
      <c r="C4" s="287"/>
      <c r="D4" s="287"/>
      <c r="E4" s="148"/>
      <c r="F4" s="148"/>
    </row>
    <row r="5" spans="1:6">
      <c r="A5" s="288" t="s">
        <v>969</v>
      </c>
      <c r="B5" s="288" t="s">
        <v>972</v>
      </c>
      <c r="C5" s="287"/>
      <c r="D5" s="287"/>
      <c r="E5" s="148"/>
      <c r="F5" s="148"/>
    </row>
    <row r="6" spans="1:6">
      <c r="A6" s="288" t="s">
        <v>969</v>
      </c>
      <c r="B6" s="288" t="s">
        <v>973</v>
      </c>
      <c r="C6" s="287"/>
      <c r="D6" s="287"/>
      <c r="E6" s="148"/>
      <c r="F6" s="148"/>
    </row>
    <row r="7" spans="1:6">
      <c r="A7" s="288" t="s">
        <v>969</v>
      </c>
      <c r="B7" s="288" t="s">
        <v>974</v>
      </c>
      <c r="C7" s="287"/>
      <c r="D7" s="287"/>
      <c r="E7" s="148"/>
      <c r="F7" s="148"/>
    </row>
    <row r="8" spans="1:6">
      <c r="A8" s="288" t="s">
        <v>969</v>
      </c>
      <c r="B8" s="288" t="s">
        <v>975</v>
      </c>
      <c r="C8" s="287"/>
      <c r="D8" s="287"/>
      <c r="E8" s="148"/>
      <c r="F8" s="148"/>
    </row>
    <row r="9" spans="1:6">
      <c r="A9" s="288" t="s">
        <v>969</v>
      </c>
      <c r="B9" s="288" t="s">
        <v>976</v>
      </c>
      <c r="C9" s="287"/>
      <c r="D9" s="287"/>
      <c r="E9" s="148"/>
      <c r="F9" s="148"/>
    </row>
    <row r="10" spans="1:6">
      <c r="A10" s="288" t="s">
        <v>969</v>
      </c>
      <c r="B10" s="288" t="s">
        <v>977</v>
      </c>
      <c r="C10" s="287"/>
      <c r="D10" s="287"/>
      <c r="E10" s="148"/>
      <c r="F10" s="148"/>
    </row>
    <row r="11" spans="1:6">
      <c r="A11" s="288" t="s">
        <v>969</v>
      </c>
      <c r="B11" s="288" t="s">
        <v>978</v>
      </c>
      <c r="C11" s="287"/>
      <c r="D11" s="287"/>
      <c r="E11" s="148"/>
      <c r="F11" s="148"/>
    </row>
    <row r="12" spans="1:6">
      <c r="A12" s="288" t="s">
        <v>969</v>
      </c>
      <c r="B12" s="288" t="s">
        <v>979</v>
      </c>
      <c r="C12" s="287"/>
      <c r="D12" s="287"/>
      <c r="E12" s="148"/>
      <c r="F12" s="148"/>
    </row>
    <row r="13" spans="1:6">
      <c r="A13" s="288" t="s">
        <v>969</v>
      </c>
      <c r="B13" s="288" t="s">
        <v>980</v>
      </c>
      <c r="C13" s="288" t="s">
        <v>800</v>
      </c>
      <c r="D13" s="287"/>
      <c r="E13" s="148"/>
      <c r="F13" s="148"/>
    </row>
    <row r="14" spans="1:6">
      <c r="A14" s="288"/>
      <c r="B14" s="287"/>
      <c r="C14" s="287"/>
      <c r="D14" s="287"/>
      <c r="E14" s="148"/>
      <c r="F14" s="148"/>
    </row>
    <row r="15" spans="1:6">
      <c r="A15" s="288" t="s">
        <v>969</v>
      </c>
      <c r="B15" s="289" t="s">
        <v>989</v>
      </c>
      <c r="C15" s="287"/>
      <c r="D15" s="287"/>
      <c r="E15" s="148"/>
      <c r="F15" s="148"/>
    </row>
    <row r="16" spans="1:6">
      <c r="A16" s="288" t="s">
        <v>969</v>
      </c>
      <c r="B16" s="289" t="s">
        <v>990</v>
      </c>
      <c r="C16" s="287"/>
      <c r="D16" s="287"/>
      <c r="E16" s="148"/>
      <c r="F16" s="148"/>
    </row>
    <row r="17" spans="1:6">
      <c r="A17" s="288" t="s">
        <v>969</v>
      </c>
      <c r="B17" s="289" t="s">
        <v>991</v>
      </c>
      <c r="C17" s="288" t="s">
        <v>828</v>
      </c>
      <c r="D17" s="287"/>
      <c r="E17" s="148"/>
      <c r="F17" s="148"/>
    </row>
    <row r="18" spans="1:6">
      <c r="A18" s="288"/>
      <c r="B18" s="287"/>
      <c r="C18" s="287"/>
      <c r="D18" s="287"/>
      <c r="E18" s="148"/>
      <c r="F18" s="148"/>
    </row>
    <row r="19" spans="1:6">
      <c r="A19" s="288" t="s">
        <v>969</v>
      </c>
      <c r="B19" s="288" t="s">
        <v>981</v>
      </c>
      <c r="C19" s="288" t="s">
        <v>822</v>
      </c>
      <c r="D19" s="287"/>
      <c r="E19" s="148"/>
      <c r="F19" s="148"/>
    </row>
    <row r="20" spans="1:6">
      <c r="A20" s="288" t="s">
        <v>969</v>
      </c>
      <c r="B20" s="288" t="s">
        <v>982</v>
      </c>
      <c r="C20" s="288" t="s">
        <v>830</v>
      </c>
      <c r="D20" s="288" t="s">
        <v>823</v>
      </c>
      <c r="E20" s="148"/>
      <c r="F20" s="148"/>
    </row>
    <row r="21" spans="1:6">
      <c r="A21" s="288"/>
      <c r="B21" s="287"/>
      <c r="C21" s="287"/>
      <c r="D21" s="287"/>
      <c r="E21" s="148"/>
      <c r="F21" s="148"/>
    </row>
    <row r="22" spans="1:6">
      <c r="A22" s="288" t="s">
        <v>969</v>
      </c>
      <c r="B22" s="288" t="s">
        <v>992</v>
      </c>
      <c r="C22" s="288" t="s">
        <v>824</v>
      </c>
      <c r="D22" s="290"/>
      <c r="E22" s="148"/>
      <c r="F22" s="148"/>
    </row>
    <row r="23" spans="1:6">
      <c r="A23" s="288" t="s">
        <v>969</v>
      </c>
      <c r="B23" s="288" t="s">
        <v>729</v>
      </c>
      <c r="C23" s="288" t="s">
        <v>825</v>
      </c>
      <c r="D23" s="290"/>
      <c r="E23" s="148"/>
      <c r="F23" s="148"/>
    </row>
    <row r="24" spans="1:6">
      <c r="A24" s="288" t="s">
        <v>969</v>
      </c>
      <c r="B24" s="288" t="s">
        <v>801</v>
      </c>
      <c r="C24" s="288" t="s">
        <v>844</v>
      </c>
      <c r="D24" s="288" t="s">
        <v>826</v>
      </c>
      <c r="E24" s="148"/>
      <c r="F24" s="148"/>
    </row>
    <row r="25" spans="1:6">
      <c r="A25" s="288" t="s">
        <v>969</v>
      </c>
      <c r="B25" s="288" t="s">
        <v>730</v>
      </c>
      <c r="C25" s="288" t="s">
        <v>827</v>
      </c>
      <c r="D25" s="287"/>
      <c r="E25" s="148"/>
      <c r="F25" s="148"/>
    </row>
    <row r="26" spans="1:6">
      <c r="A26" s="288"/>
      <c r="B26" s="287"/>
      <c r="C26" s="287"/>
      <c r="D26" s="287"/>
      <c r="E26" s="148"/>
      <c r="F26" s="148"/>
    </row>
    <row r="27" spans="1:6">
      <c r="A27" s="288" t="s">
        <v>969</v>
      </c>
      <c r="B27" s="288" t="s">
        <v>983</v>
      </c>
      <c r="C27" s="287"/>
      <c r="D27" s="287"/>
      <c r="E27" s="148"/>
      <c r="F27" s="148"/>
    </row>
    <row r="28" spans="1:6">
      <c r="A28" s="288"/>
      <c r="B28" s="287"/>
      <c r="C28" s="287"/>
      <c r="D28" s="287"/>
      <c r="E28" s="148"/>
      <c r="F28" s="148"/>
    </row>
    <row r="29" spans="1:6">
      <c r="A29" s="288" t="s">
        <v>969</v>
      </c>
      <c r="B29" s="289" t="s">
        <v>984</v>
      </c>
      <c r="C29" s="287"/>
      <c r="D29" s="287"/>
      <c r="E29" s="148"/>
      <c r="F29" s="148"/>
    </row>
    <row r="30" spans="1:6">
      <c r="A30" s="288" t="s">
        <v>969</v>
      </c>
      <c r="B30" s="289" t="s">
        <v>985</v>
      </c>
      <c r="C30" s="287"/>
      <c r="D30" s="287"/>
      <c r="E30" s="148"/>
      <c r="F30" s="148"/>
    </row>
    <row r="31" spans="1:6">
      <c r="A31" s="288" t="s">
        <v>969</v>
      </c>
      <c r="B31" s="289" t="s">
        <v>986</v>
      </c>
      <c r="C31" s="287"/>
      <c r="D31" s="287"/>
      <c r="E31" s="148"/>
      <c r="F31" s="148"/>
    </row>
    <row r="32" spans="1:6">
      <c r="A32" s="288" t="s">
        <v>969</v>
      </c>
      <c r="B32" s="289" t="s">
        <v>987</v>
      </c>
      <c r="C32" s="287"/>
      <c r="D32" s="287"/>
      <c r="E32" s="148"/>
      <c r="F32" s="148"/>
    </row>
    <row r="33" spans="1:6">
      <c r="A33" s="288" t="s">
        <v>969</v>
      </c>
      <c r="B33" s="289" t="s">
        <v>988</v>
      </c>
      <c r="C33" s="287"/>
      <c r="D33" s="287"/>
      <c r="E33" s="148"/>
      <c r="F33" s="148"/>
    </row>
    <row r="34" spans="1:6">
      <c r="E34" s="148"/>
      <c r="F34" s="148"/>
    </row>
  </sheetData>
  <phoneticPr fontId="3" type="noConversion"/>
  <dataValidations count="1">
    <dataValidation showDropDown="1" showInputMessage="1" showErrorMessage="1" sqref="B39:B42"/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32</vt:i4>
      </vt:variant>
    </vt:vector>
  </HeadingPairs>
  <TitlesOfParts>
    <vt:vector size="47" baseType="lpstr">
      <vt:lpstr>note</vt:lpstr>
      <vt:lpstr>Package</vt:lpstr>
      <vt:lpstr>Die</vt:lpstr>
      <vt:lpstr>Performance</vt:lpstr>
      <vt:lpstr>IO Pad</vt:lpstr>
      <vt:lpstr>GSBI复用说明</vt:lpstr>
      <vt:lpstr>单封Power&amp;Gnd</vt:lpstr>
      <vt:lpstr>合封Power&amp;Gnd</vt:lpstr>
      <vt:lpstr>硬件使用说明</vt:lpstr>
      <vt:lpstr>接口位置图</vt:lpstr>
      <vt:lpstr>IP list</vt:lpstr>
      <vt:lpstr>特殊信号处理</vt:lpstr>
      <vt:lpstr>代码生成</vt:lpstr>
      <vt:lpstr>使用手册</vt:lpstr>
      <vt:lpstr>Sheet1</vt:lpstr>
      <vt:lpstr>'IO Pad'!_a1</vt:lpstr>
      <vt:lpstr>Package!_a1</vt:lpstr>
      <vt:lpstr>_a1</vt:lpstr>
      <vt:lpstr>'IO Pad'!_a10</vt:lpstr>
      <vt:lpstr>_a10</vt:lpstr>
      <vt:lpstr>'IO Pad'!_a11</vt:lpstr>
      <vt:lpstr>'IO Pad'!_a12</vt:lpstr>
      <vt:lpstr>'IO Pad'!_a13</vt:lpstr>
      <vt:lpstr>'IO Pad'!_a14</vt:lpstr>
      <vt:lpstr>'IO Pad'!_a15</vt:lpstr>
      <vt:lpstr>'IO Pad'!_a16</vt:lpstr>
      <vt:lpstr>'IO Pad'!_a17</vt:lpstr>
      <vt:lpstr>'IO Pad'!_a18</vt:lpstr>
      <vt:lpstr>'IO Pad'!_a19</vt:lpstr>
      <vt:lpstr>'IO Pad'!_a2</vt:lpstr>
      <vt:lpstr>'IO Pad'!_a20</vt:lpstr>
      <vt:lpstr>'IO Pad'!_a21</vt:lpstr>
      <vt:lpstr>'IO Pad'!_a22</vt:lpstr>
      <vt:lpstr>'IO Pad'!_a23</vt:lpstr>
      <vt:lpstr>'IO Pad'!_a24</vt:lpstr>
      <vt:lpstr>'IO Pad'!_a25</vt:lpstr>
      <vt:lpstr>'IO Pad'!_a3</vt:lpstr>
      <vt:lpstr>'IO Pad'!_a4</vt:lpstr>
      <vt:lpstr>'IO Pad'!_a5</vt:lpstr>
      <vt:lpstr>'IO Pad'!_a6</vt:lpstr>
      <vt:lpstr>'IO Pad'!_a7</vt:lpstr>
      <vt:lpstr>'IO Pad'!_a8</vt:lpstr>
      <vt:lpstr>'IO Pad'!_a9</vt:lpstr>
      <vt:lpstr>boot</vt:lpstr>
      <vt:lpstr>Function</vt:lpstr>
      <vt:lpstr>mf</vt:lpstr>
      <vt:lpstr>'IO Pad'!Print_Area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zyb</dc:creator>
  <cp:lastModifiedBy>wtest222</cp:lastModifiedBy>
  <cp:lastPrinted>2010-07-08T11:53:37Z</cp:lastPrinted>
  <dcterms:created xsi:type="dcterms:W3CDTF">2004-05-21T06:54:18Z</dcterms:created>
  <dcterms:modified xsi:type="dcterms:W3CDTF">2014-09-23T06:06:43Z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(3)XD9yLC04bo5nFnCiCMZCOExnnu1p9pBY1lW+ZHr72dLPGTg/A9Sa5C00MsIbo8SGqO4XyHso Gz4xznzqqSoYI3AhQ2FDeO3xZLfeF3SfhZE08Za+GXilo7swfJckZbDSAklzBOPj53tBxp1H EgAHXDZ5DE4XSIi0jq40bkmEVH06LldatlbrH5RR/F9Ujw+/8qCGrcVXiB4cnarPSA1xiuDD voay9cfeQp10JJQyC9IG7</vt:lpwstr>
  </property>
  <property fmtid="{D5CDD505-2E9C-101B-9397-08002B2CF9AE}" pid="3" name="_ms_pID_7253431">
    <vt:lpwstr>I3umUgvSGp8V2Aemv5lw9UjIlj8PqS1fwvGozf8lkVSM8oErgvb rmkUz4WQXbyHgZC1Ra8DPWWfvKt5KWh03EOTCuxJxqhFsGiHB/jH0vUnAkGF4qgmCiFna6QU AkuzFXWRrAoClV2oIvu+URThbf7fvu2YZkeN9Cd7b7Kn1KRNXuCUJZFUk6242n7YYnWHHOLL RGCU3rT3nZfRUL9Uma2T0RI0zB2eAWCtQ5ASgPt5o3</vt:lpwstr>
  </property>
  <property fmtid="{D5CDD505-2E9C-101B-9397-08002B2CF9AE}" pid="4" name="_ms_pID_7253432">
    <vt:lpwstr>c8QpIDRLrgaH2E7fpGzip4ZSWA2idz AS2qEQOyDfaBu1IO2p9on1YZ+ckET121IFavs2z1PiUNhC/nMH0=</vt:lpwstr>
  </property>
  <property fmtid="{D5CDD505-2E9C-101B-9397-08002B2CF9AE}" pid="5" name="_new_ms_pID_72543">
    <vt:lpwstr>(3)pzVk6Mtjw/IlqGZ3Ydssl9Q8+W1Cu0/gW80db+StmsX+DJ0o3W9r1q3ZNBRudQP7tWZ3mQnG_x000d_
7EkzHy8tWgSy+OBZL+OzUClNkhEm2LXhVWxrWq9NdQm5Kjdzog2VADcWCQcGO/cYezq9v2U3_x000d_
ilizBy9F1NsNJyCWOnF4OuxDyFyWhOvBAxqUbo8xu9W1x+iEb2PvxaW9lZxSDyrr69mVCtLS_x000d_
Xa+4HSCzFHW3152f9S</vt:lpwstr>
  </property>
  <property fmtid="{D5CDD505-2E9C-101B-9397-08002B2CF9AE}" pid="6" name="_new_ms_pID_725431">
    <vt:lpwstr>g+VuyhC1v5mQr/0WbdYgSV4ZGHZwEc+uwBz5FNPxRUbnwRZHCdnOPs_x000d_
r1hdmVFxo9qnXRWVEa3Up5dxz/xdHxIvlPs8GfHRr/O709O3gn6rDpKDNsPdmqzixkfJHtWh_x000d_
1fUT+P7aojKbJNFjUCYvufHM/Xc6UUUcdLRMduEUKC50AMsESaUG6B7Wevnvh7KCZmFy9dvZ_x000d_
iGw8U47cptjXZ6vLUC5F+BX9uLL3uxKrtDZQ</vt:lpwstr>
  </property>
  <property fmtid="{D5CDD505-2E9C-101B-9397-08002B2CF9AE}" pid="7" name="_new_ms_pID_725432">
    <vt:lpwstr>IaZt+awGzxFhzvmMgr3nTPpbYqdrsWsmoiwZ_x000d_
iO1EfWJ3EaH47PYbzq/E5mFPezRa1w==</vt:lpwstr>
  </property>
  <property fmtid="{D5CDD505-2E9C-101B-9397-08002B2CF9AE}" pid="8" name="sflag">
    <vt:lpwstr>1411452371</vt:lpwstr>
  </property>
</Properties>
</file>