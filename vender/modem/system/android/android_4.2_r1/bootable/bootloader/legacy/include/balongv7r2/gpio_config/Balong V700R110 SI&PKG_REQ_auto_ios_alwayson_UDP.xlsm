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10860" windowHeight="3135" tabRatio="830" firstSheet="2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37" r:id="rId13"/>
    <sheet name="使用手册" sheetId="31" r:id="rId14"/>
    <sheet name="Sheet1" sheetId="36" state="hidden" r:id="rId15"/>
  </sheets>
  <functionGroups/>
  <externalReferences>
    <externalReference r:id="rId16"/>
    <externalReference r:id="rId17"/>
  </externalReferences>
  <definedNames>
    <definedName name="_4">[1]Sheet1!$A$4:$C$4</definedName>
    <definedName name="_a1" localSheetId="4">Sheet1!$A$4:$B$4</definedName>
    <definedName name="_a1" localSheetId="1">Sheet1!$B$13:$C$13</definedName>
    <definedName name="_a1">Sheet1!$B$13:$C$13</definedName>
    <definedName name="_a10" localSheetId="4">Sheet1!$A$13:$C$13</definedName>
    <definedName name="_a10">Sheet1!$A$13:$C$13</definedName>
    <definedName name="_a11" localSheetId="4">Sheet1!$A$15:$B$15</definedName>
    <definedName name="_a12" localSheetId="4">Sheet1!$A$16:$B$16</definedName>
    <definedName name="_a13" localSheetId="4">Sheet1!$A$17:$C$17</definedName>
    <definedName name="_a14" localSheetId="4">Sheet1!$A$19:$C$19</definedName>
    <definedName name="_a15" localSheetId="4">Sheet1!$A$20:$D$20</definedName>
    <definedName name="_a16" localSheetId="4">Sheet1!$A$22:$C$22</definedName>
    <definedName name="_a17" localSheetId="4">Sheet1!$A$23:$C$23</definedName>
    <definedName name="_a18" localSheetId="4">Sheet1!$A$24:$D$24</definedName>
    <definedName name="_a19" localSheetId="4">Sheet1!$A$25:$C$25</definedName>
    <definedName name="_a2" localSheetId="4">Sheet1!$A$5:$B$5</definedName>
    <definedName name="_a20" localSheetId="4">Sheet1!$A$27:$B$27</definedName>
    <definedName name="_a21" localSheetId="4">Sheet1!$A$29:$B$29</definedName>
    <definedName name="_a22" localSheetId="4">Sheet1!$A$30:$B$30</definedName>
    <definedName name="_a23" localSheetId="4">Sheet1!$A$31:$B$31</definedName>
    <definedName name="_a24" localSheetId="4">Sheet1!$A$32:$B$32</definedName>
    <definedName name="_a25" localSheetId="4">Sheet1!$A$33:$B$33</definedName>
    <definedName name="_a3" localSheetId="4">Sheet1!$A$6:$B$6</definedName>
    <definedName name="_a4" localSheetId="4">Sheet1!$A$7:$B$7</definedName>
    <definedName name="_a5" localSheetId="4">Sheet1!$A$8:$B$8</definedName>
    <definedName name="_a6" localSheetId="4">Sheet1!$A$9:$B$9</definedName>
    <definedName name="_a7" localSheetId="4">Sheet1!$A$10:$B$10</definedName>
    <definedName name="_a8" localSheetId="4">Sheet1!$A$11:$B$11</definedName>
    <definedName name="_a9" localSheetId="4">Sheet1!$A$12:$B$12</definedName>
    <definedName name="_xlnm._FilterDatabase" localSheetId="4" hidden="1">'IO Pad'!$A$1:$DY$124</definedName>
    <definedName name="boot" localSheetId="12">#REF!</definedName>
    <definedName name="boot">'IO Pad'!$U$17:$U$18</definedName>
    <definedName name="Function" localSheetId="12">#REF!,#REF!,#REF!,#REF!,#REF!,#REF!,#REF!,#REF!,#REF!</definedName>
    <definedName name="Function">'IO Pad'!$U$4:$U$15,'IO Pad'!$U$17:$U$18,'IO Pad'!$U$20:$U$26,'IO Pad'!$U$37:$U$42,'IO Pad'!$U$48:$U$63,'IO Pad'!$U$65:$U$71,'IO Pad'!$U$73:$U$78,'IO Pad'!$U$80:$U$85,'IO Pad'!$U$86:$U$125</definedName>
    <definedName name="mf" localSheetId="12">#REF!</definedName>
    <definedName name="mf">'IO Pad'!$U$4:$U$124</definedName>
    <definedName name="_xlnm.Print_Area" localSheetId="4">'IO Pad'!$F$1:$T$61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13" i="18"/>
  <c r="C40"/>
  <c r="C41" s="1"/>
  <c r="B40"/>
  <c r="B39"/>
  <c r="B41" l="1"/>
  <c r="U33" l="1"/>
  <c r="U32"/>
  <c r="U31"/>
  <c r="U30"/>
  <c r="U29"/>
  <c r="E39" l="1"/>
  <c r="D39"/>
  <c r="C39"/>
  <c r="U27"/>
  <c r="U20"/>
  <c r="U19"/>
  <c r="U12"/>
  <c r="U11"/>
  <c r="U10"/>
  <c r="U9"/>
  <c r="U8"/>
  <c r="U7"/>
  <c r="U6"/>
  <c r="U5"/>
  <c r="U4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<sst xmlns="http://schemas.openxmlformats.org/spreadsheetml/2006/main" count="2061" uniqueCount="1024">
  <si>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</si>
  <si>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</si>
  <si>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</si>
  <si>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</si>
  <si>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</si>
  <si>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</si>
  <si>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</si>
  <si>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</si>
  <si>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</si>
  <si>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</si>
  <si>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</si>
  <si>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</si>
  <si>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</si>
  <si>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</si>
  <si>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</si>
  <si>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</si>
  <si>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</si>
  <si>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</si>
  <si>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</si>
  <si>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</si>
  <si>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</si>
  <si>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</si>
  <si>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</si>
  <si>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</si>
  <si>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</si>
  <si>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</si>
  <si>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</si>
  <si>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</si>
  <si>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</si>
  <si>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</si>
  <si>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</si>
  <si>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</si>
  <si>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</si>
  <si>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</si>
  <si>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</si>
  <si>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</si>
  <si>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</si>
  <si>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</si>
  <si>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</si>
  <si>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</si>
  <si>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</si>
  <si>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</si>
  <si>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</si>
  <si>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</si>
  <si>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</si>
  <si>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</si>
  <si>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</si>
  <si>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</si>
  <si>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</si>
  <si>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MUX_NA</t>
  </si>
  <si>
    <t>OZ</t>
  </si>
  <si>
    <t>B</t>
  </si>
  <si>
    <t>DO</t>
  </si>
  <si>
    <t>DI</t>
  </si>
  <si>
    <t>SI</t>
  </si>
  <si>
    <t>BOD</t>
  </si>
  <si>
    <t>Y</t>
  </si>
  <si>
    <t>IOM_CTRL7</t>
  </si>
  <si>
    <t>IOM_CTRL13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</si>
  <si>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</si>
  <si>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</si>
  <si>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</si>
  <si>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</si>
  <si>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</si>
  <si>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</si>
  <si>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</si>
  <si>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</si>
  <si>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</si>
  <si>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</si>
  <si>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</si>
  <si>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</si>
  <si>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</si>
  <si>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</si>
  <si>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</si>
  <si>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</si>
  <si>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</si>
  <si>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</si>
  <si>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</si>
  <si>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</si>
  <si>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</si>
  <si>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</si>
  <si>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</si>
  <si>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</si>
  <si>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</si>
  <si>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</si>
  <si>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</si>
  <si>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</si>
  <si>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</si>
  <si>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</si>
  <si>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</si>
  <si>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</si>
  <si>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PD</t>
    <phoneticPr fontId="3" type="noConversion"/>
  </si>
  <si>
    <t>PU</t>
    <phoneticPr fontId="3" type="noConversion"/>
  </si>
  <si>
    <t>含义</t>
    <phoneticPr fontId="3" type="noConversion"/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</si>
  <si>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</si>
  <si>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</si>
  <si>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</si>
  <si>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</si>
  <si>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</si>
  <si>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</si>
  <si>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</si>
  <si>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</si>
  <si>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</si>
  <si>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</si>
  <si>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</si>
  <si>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</si>
  <si>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</si>
  <si>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</si>
  <si>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</si>
  <si>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</si>
  <si>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</si>
  <si>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</si>
  <si>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</si>
  <si>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</si>
  <si>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</si>
  <si>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</si>
  <si>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</si>
  <si>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</si>
  <si>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</si>
  <si>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</si>
  <si>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</si>
  <si>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</si>
  <si>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</si>
  <si>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</si>
  <si>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</si>
  <si>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</si>
  <si>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</si>
  <si>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</si>
  <si>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</si>
  <si>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</si>
  <si>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</si>
  <si>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</si>
  <si>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</si>
  <si>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</si>
  <si>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</si>
  <si>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</si>
  <si>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</si>
  <si>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</si>
  <si>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</si>
  <si>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</si>
  <si>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</si>
  <si>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</si>
  <si>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</si>
  <si>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</si>
  <si>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</si>
  <si>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</si>
  <si>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</si>
  <si>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</si>
  <si>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</si>
  <si>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</si>
  <si>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</si>
  <si>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</si>
  <si>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</si>
  <si>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</si>
  <si>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</si>
  <si>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</si>
  <si>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</si>
  <si>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</si>
  <si>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</si>
  <si>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</si>
  <si>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</si>
  <si>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</si>
  <si>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</si>
  <si>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</si>
  <si>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</si>
  <si>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</si>
  <si>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</si>
  <si>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</si>
  <si>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</si>
  <si>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</si>
  <si>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</si>
  <si>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</si>
  <si>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</si>
  <si>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</si>
  <si>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</si>
  <si>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</si>
  <si>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</si>
  <si>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</si>
  <si>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</si>
  <si>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</si>
  <si>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</si>
  <si>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</si>
  <si>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</si>
  <si>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</si>
  <si>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</si>
  <si>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</si>
  <si>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</si>
  <si>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</si>
  <si>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</si>
  <si>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</si>
  <si>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</si>
  <si>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</si>
  <si>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</si>
  <si>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</si>
  <si>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</si>
  <si>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</si>
  <si>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</si>
  <si>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</si>
  <si>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</si>
  <si>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</si>
  <si>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</si>
  <si>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</si>
  <si>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</si>
  <si>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</si>
  <si>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</si>
  <si>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</si>
  <si>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</si>
  <si>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</si>
  <si>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</si>
  <si>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</si>
  <si>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</si>
  <si>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</si>
  <si>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</si>
  <si>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</si>
  <si>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</si>
  <si>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</si>
  <si>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</si>
  <si>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</si>
  <si>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</si>
  <si>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</si>
  <si>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</si>
  <si>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</si>
  <si>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</si>
  <si>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</si>
  <si>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</si>
  <si>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</si>
  <si>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</si>
  <si>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</si>
  <si>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</si>
  <si>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</si>
  <si>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</si>
  <si>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</si>
  <si>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</si>
  <si>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</si>
  <si>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</si>
  <si>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</si>
  <si>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</si>
  <si>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</si>
  <si>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</si>
  <si>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</si>
  <si>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</si>
  <si>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</si>
  <si>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</si>
  <si>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</si>
  <si>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</si>
  <si>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</si>
  <si>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</si>
  <si>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</si>
  <si>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</si>
  <si>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</si>
  <si>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</si>
  <si>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</si>
  <si>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</si>
  <si>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</si>
  <si>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</si>
  <si>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</si>
  <si>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</si>
  <si>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</si>
  <si>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</si>
  <si>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</si>
  <si>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</si>
  <si>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</si>
  <si>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</si>
  <si>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</si>
  <si>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</si>
  <si>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</si>
  <si>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</si>
  <si>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</si>
  <si>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</si>
  <si>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</si>
  <si>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</si>
  <si>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</si>
  <si>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</si>
  <si>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</si>
  <si>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</si>
  <si>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</si>
  <si>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</si>
  <si>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</si>
  <si>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</si>
  <si>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</si>
  <si>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</si>
  <si>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</si>
  <si>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</si>
  <si>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</si>
  <si>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</si>
  <si>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</si>
  <si>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</si>
  <si>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</si>
  <si>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</si>
  <si>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</si>
  <si>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</si>
  <si>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</si>
  <si>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</si>
  <si>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</si>
  <si>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</si>
  <si>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</si>
  <si>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</si>
  <si>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</si>
  <si>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</si>
  <si>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</si>
  <si>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</si>
  <si>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</si>
  <si>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</si>
  <si>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</si>
  <si>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</si>
  <si>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</si>
  <si>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</si>
  <si>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</si>
  <si>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</si>
  <si>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</si>
  <si>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</si>
  <si>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</si>
  <si>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</si>
  <si>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</si>
  <si>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</si>
  <si>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</si>
  <si>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</si>
  <si>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</si>
  <si>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</si>
  <si>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</si>
  <si>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</si>
  <si>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</si>
  <si>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</si>
  <si>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</si>
  <si>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</si>
  <si>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</si>
  <si>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</si>
  <si>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</si>
  <si>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</si>
  <si>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</si>
  <si>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</si>
  <si>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</si>
  <si>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</si>
  <si>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</si>
  <si>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</si>
  <si>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</si>
  <si>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</si>
  <si>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</si>
  <si>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</si>
  <si>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</si>
  <si>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</si>
  <si>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</si>
  <si>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</si>
  <si>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</si>
  <si>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</si>
  <si>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</si>
  <si>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</si>
  <si>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</si>
  <si>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</si>
  <si>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</si>
  <si>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</si>
  <si>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</si>
  <si>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</si>
  <si>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</si>
  <si>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</si>
  <si>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</si>
  <si>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</si>
  <si>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</si>
  <si>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</si>
  <si>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</si>
  <si>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</si>
  <si>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</si>
  <si>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</si>
  <si>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</si>
  <si>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</si>
  <si>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</si>
  <si>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</si>
  <si>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</si>
  <si>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</si>
  <si>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</si>
  <si>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</si>
  <si>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</si>
  <si>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</si>
  <si>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</si>
  <si>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</si>
  <si>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</si>
  <si>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</si>
  <si>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</si>
  <si>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</si>
  <si>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</si>
  <si>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</si>
  <si>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</si>
  <si>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</si>
  <si>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</si>
  <si>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</si>
  <si>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</si>
  <si>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</si>
  <si>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</si>
  <si>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</si>
  <si>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</si>
  <si>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</si>
  <si>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</si>
  <si>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</si>
  <si>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</si>
  <si>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</si>
  <si>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</si>
  <si>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</si>
  <si>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</si>
  <si>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</si>
  <si>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</si>
  <si>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</si>
  <si>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</si>
  <si>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</si>
  <si>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</si>
  <si>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</si>
  <si>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</si>
  <si>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</si>
  <si>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</si>
  <si>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</si>
  <si>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</si>
  <si>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</si>
  <si>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</si>
  <si>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</si>
  <si>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</si>
  <si>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</si>
  <si>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</si>
  <si>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</si>
  <si>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</si>
  <si>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</si>
  <si>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</si>
  <si>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</si>
  <si>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</si>
  <si>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</si>
  <si>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</si>
  <si>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</si>
  <si>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</si>
  <si>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</si>
  <si>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</si>
  <si>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</si>
  <si>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</si>
  <si>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</si>
  <si>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</si>
  <si>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</si>
  <si>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</si>
  <si>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</si>
  <si>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</si>
  <si>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</si>
  <si>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</si>
  <si>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</si>
  <si>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</si>
  <si>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</si>
  <si>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</si>
  <si>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</si>
  <si>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</si>
  <si>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</si>
  <si>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</si>
  <si>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</si>
  <si>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</si>
  <si>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</si>
  <si>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</si>
  <si>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</si>
  <si>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</si>
  <si>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</si>
  <si>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</si>
  <si>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</si>
  <si>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</si>
  <si>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</si>
  <si>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</si>
  <si>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</si>
  <si>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</si>
  <si>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</si>
  <si>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</si>
  <si>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</si>
  <si>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</si>
  <si>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</si>
  <si>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</si>
  <si>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</si>
  <si>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</si>
  <si>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</si>
  <si>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</si>
  <si>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</si>
  <si>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</si>
  <si>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</si>
  <si>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</si>
  <si>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</si>
  <si>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</si>
  <si>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</si>
  <si>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</si>
  <si>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</si>
  <si>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</si>
  <si>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</si>
  <si>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</si>
  <si>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</si>
  <si>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</si>
  <si>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</si>
  <si>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</si>
  <si>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</si>
  <si>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</si>
  <si>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</si>
  <si>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</si>
  <si>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</si>
  <si>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</si>
  <si>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</si>
  <si>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</si>
  <si>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</si>
  <si>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</si>
  <si>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</si>
  <si>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</si>
  <si>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</si>
  <si>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</si>
  <si>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</si>
  <si>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</si>
  <si>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</si>
  <si>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</si>
  <si>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</si>
  <si>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</si>
  <si>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</si>
  <si>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</si>
  <si>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</si>
  <si>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</si>
  <si>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</si>
  <si>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</si>
  <si>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</si>
  <si>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</si>
  <si>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</si>
  <si>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</si>
  <si>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</si>
  <si>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</si>
  <si>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</si>
  <si>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</si>
  <si>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</si>
  <si>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IOM_CTRL16</t>
  </si>
  <si>
    <t xml:space="preserve"> </t>
    <phoneticPr fontId="39" type="noConversion"/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</si>
  <si>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</si>
  <si>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</si>
  <si>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</si>
  <si>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</si>
  <si>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</si>
  <si>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</si>
  <si>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</si>
  <si>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</si>
  <si>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</si>
  <si>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</si>
  <si>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</si>
  <si>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</si>
  <si>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</si>
  <si>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</si>
  <si>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</si>
  <si>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</si>
  <si>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</si>
  <si>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</si>
  <si>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</si>
  <si>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</si>
  <si>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</si>
  <si>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</si>
  <si>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</si>
  <si>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</si>
  <si>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</si>
  <si>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</si>
  <si>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</si>
  <si>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</si>
  <si>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</si>
  <si>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</si>
  <si>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</si>
  <si>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</si>
  <si>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</si>
  <si>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</si>
  <si>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</si>
  <si>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</si>
  <si>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</si>
  <si>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</si>
  <si>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</si>
  <si>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</si>
  <si>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Alternative function (1)</t>
  </si>
  <si>
    <t>Alternative function (2)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</si>
  <si>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</si>
  <si>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</si>
  <si>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</si>
  <si>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</si>
  <si>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</si>
  <si>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</si>
  <si>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</si>
  <si>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</si>
  <si>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</si>
  <si>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</si>
  <si>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</si>
  <si>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</si>
  <si>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</si>
  <si>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</si>
  <si>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</si>
  <si>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</si>
  <si>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</si>
  <si>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</si>
  <si>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</si>
  <si>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</si>
  <si>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PCM(4)</t>
    <phoneticPr fontId="3" type="noConversion"/>
  </si>
  <si>
    <t>GPIO(6)</t>
    <phoneticPr fontId="3" type="noConversion"/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</si>
  <si>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</si>
  <si>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</si>
  <si>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</si>
  <si>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</si>
  <si>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</si>
  <si>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</si>
  <si>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</si>
  <si>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</si>
  <si>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</si>
  <si>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</si>
  <si>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</si>
  <si>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</si>
  <si>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</si>
  <si>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</si>
  <si>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</si>
  <si>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</si>
  <si>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</si>
  <si>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</si>
  <si>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</si>
  <si>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</si>
  <si>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</si>
  <si>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</si>
  <si>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</si>
  <si>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</si>
  <si>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</si>
  <si>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</si>
  <si>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</si>
  <si>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</si>
  <si>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</si>
  <si>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</si>
  <si>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</si>
  <si>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</si>
  <si>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0x90010000</t>
    <phoneticPr fontId="3" type="noConversion"/>
  </si>
  <si>
    <t>GPIO(19)</t>
    <phoneticPr fontId="3" type="noConversion"/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</si>
  <si>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</si>
  <si>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</si>
  <si>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</si>
  <si>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</si>
  <si>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</si>
  <si>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</si>
  <si>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</si>
  <si>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</si>
  <si>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</si>
  <si>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</si>
  <si>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</si>
  <si>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</si>
  <si>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</si>
  <si>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</si>
  <si>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</si>
  <si>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</si>
  <si>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</si>
  <si>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</si>
  <si>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</si>
  <si>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IOM_CTRL1</t>
  </si>
  <si>
    <t>IOM_CTRL2</t>
  </si>
  <si>
    <t>IOM_CTRL3</t>
  </si>
  <si>
    <t>IOM_CTRL4</t>
  </si>
  <si>
    <t>IOM_CTRL6</t>
  </si>
  <si>
    <t>PMU(13)</t>
    <phoneticPr fontId="3" type="noConversion"/>
  </si>
  <si>
    <t>gpio(5)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</si>
  <si>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</si>
  <si>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</si>
  <si>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DVDD18_3</t>
  </si>
  <si>
    <t>DVDD18_4</t>
  </si>
  <si>
    <t>DVDD18_5</t>
  </si>
  <si>
    <t>1MHz</t>
  </si>
  <si>
    <t>24MHz</t>
  </si>
  <si>
    <t>19.2MHz</t>
  </si>
  <si>
    <t>注：黄色表示需要在封装上合并的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</si>
  <si>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</si>
  <si>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</si>
  <si>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</si>
  <si>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DVDD18_1</t>
    <phoneticPr fontId="50" type="noConversion"/>
  </si>
  <si>
    <t>DVDD18_AO</t>
    <phoneticPr fontId="50" type="noConversion"/>
  </si>
  <si>
    <t>AVDD18_DDRDXPLL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</si>
  <si>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</si>
  <si>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</si>
  <si>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</si>
  <si>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CH0_DVDD09</t>
    <phoneticPr fontId="50" type="noConversion"/>
  </si>
  <si>
    <t>AVDD13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</si>
  <si>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</si>
  <si>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</si>
  <si>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</si>
  <si>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</si>
  <si>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</si>
  <si>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管脚上电默认状态</t>
    <phoneticPr fontId="3" type="noConversion"/>
  </si>
  <si>
    <t>1.8VD(P3)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</si>
  <si>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</si>
  <si>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</si>
  <si>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</si>
  <si>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</si>
  <si>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</si>
  <si>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</si>
  <si>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</si>
  <si>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</si>
  <si>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</si>
  <si>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</si>
  <si>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</si>
  <si>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</si>
  <si>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</si>
  <si>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</si>
  <si>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</si>
  <si>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</si>
  <si>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</si>
  <si>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</si>
  <si>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</si>
  <si>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</si>
  <si>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</si>
  <si>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</si>
  <si>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CLKIN_SLEEP</t>
  </si>
  <si>
    <t>32.768KHz</t>
    <phoneticPr fontId="3" type="noConversion"/>
  </si>
  <si>
    <t>HISI4D</t>
    <phoneticPr fontId="3" type="noConversion"/>
  </si>
  <si>
    <t>PDDUKW4DS_H_HI</t>
  </si>
  <si>
    <t>pull-up control</t>
  </si>
  <si>
    <t>PDDUKW4D_H_HI</t>
  </si>
  <si>
    <t>gpio0_0_ctrl1_1:ios_af_ctrl0[0]:D0</t>
  </si>
  <si>
    <t>gpio0[3]</t>
  </si>
  <si>
    <t>gpio0[5]</t>
  </si>
  <si>
    <t>宋占坤</t>
    <phoneticPr fontId="3" type="noConversion"/>
  </si>
  <si>
    <t>IOM_CTRL15</t>
  </si>
  <si>
    <t>122.88MHz</t>
  </si>
  <si>
    <t>王少华</t>
    <phoneticPr fontId="3" type="noConversion"/>
  </si>
  <si>
    <t>HISI4D</t>
  </si>
  <si>
    <t>双向（开漏输出），唤醒信号。</t>
  </si>
  <si>
    <t>合封</t>
    <phoneticPr fontId="3" type="noConversion"/>
  </si>
  <si>
    <t>信号数量统计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</si>
  <si>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</si>
  <si>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</si>
  <si>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</si>
  <si>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</si>
  <si>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</si>
  <si>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</si>
  <si>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</si>
  <si>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RSTIN_N</t>
    <phoneticPr fontId="3" type="noConversion"/>
  </si>
  <si>
    <t>HISI4D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</si>
  <si>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</si>
  <si>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RSTOUT_N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</si>
  <si>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</si>
  <si>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</si>
  <si>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</si>
  <si>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</si>
  <si>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</si>
  <si>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PMU_SSI</t>
    <phoneticPr fontId="50" type="noConversion"/>
  </si>
  <si>
    <t>122.88MHz</t>
    <phoneticPr fontId="3" type="noConversion"/>
  </si>
  <si>
    <t>PMU_HKADC_SSI</t>
    <phoneticPr fontId="50" type="noConversion"/>
  </si>
  <si>
    <t>PMU_AUXDAC0_SSI</t>
    <phoneticPr fontId="50" type="noConversion"/>
  </si>
  <si>
    <t>CH0_TCXO_EN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</si>
  <si>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</si>
  <si>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</si>
  <si>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PMU接口信号，用于使能BB芯片0.9V供电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</si>
  <si>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</si>
  <si>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</si>
  <si>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</si>
  <si>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</si>
  <si>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</si>
  <si>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pull-up/down control</t>
    <phoneticPr fontId="3" type="noConversion"/>
  </si>
  <si>
    <t>usim0_clk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</si>
  <si>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</si>
  <si>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</si>
  <si>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B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</si>
  <si>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</si>
  <si>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</si>
  <si>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</si>
  <si>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</si>
  <si>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SIM卡0的复位信号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</si>
  <si>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</si>
  <si>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</si>
  <si>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UART0（2个pin）</t>
    <phoneticPr fontId="3" type="noConversion"/>
  </si>
  <si>
    <t>UART0_TXD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</si>
  <si>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</si>
  <si>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</si>
  <si>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</si>
  <si>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</si>
  <si>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</si>
  <si>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确认</t>
    <phoneticPr fontId="3" type="noConversion"/>
  </si>
  <si>
    <t>JTAG_DFM_MODE(1个pin）</t>
    <phoneticPr fontId="3" type="noConversion"/>
  </si>
  <si>
    <t>JTAG_DFT_MODE</t>
    <phoneticPr fontId="3" type="noConversion"/>
  </si>
  <si>
    <t>JTAG DFT模式选择开关。1：JTAG0 扫描BSD；0：JTAG0按照JTAG 模式开关配置扫描SOC 组件</t>
    <phoneticPr fontId="3" type="noConversion"/>
  </si>
  <si>
    <t>Alternative function (3)</t>
    <phoneticPr fontId="3" type="noConversion"/>
  </si>
  <si>
    <t>480MHz</t>
    <phoneticPr fontId="3" type="noConversion"/>
  </si>
  <si>
    <t>SYNOPSYS</t>
    <phoneticPr fontId="3" type="noConversion"/>
  </si>
  <si>
    <t>NA_CTRL</t>
  </si>
  <si>
    <t>comment</t>
    <phoneticPr fontId="3" type="noConversion"/>
  </si>
  <si>
    <t>gpio0[0]</t>
    <phoneticPr fontId="3" type="noConversion"/>
  </si>
  <si>
    <t>gpio0[4]</t>
  </si>
  <si>
    <t>IOM_CTRL8</t>
  </si>
  <si>
    <t>IOM_CTRL9</t>
    <phoneticPr fontId="3" type="noConversion"/>
  </si>
  <si>
    <t>IOM_CTRL11</t>
  </si>
  <si>
    <t>IOM_CTRL12</t>
    <phoneticPr fontId="3" type="noConversion"/>
  </si>
  <si>
    <t>IOM_CTRL17</t>
  </si>
  <si>
    <t>5V</t>
    <phoneticPr fontId="3" type="noConversion"/>
  </si>
  <si>
    <t>MUX_NA</t>
    <phoneticPr fontId="3" type="noConversion"/>
  </si>
  <si>
    <t>USB20_VBUS</t>
    <phoneticPr fontId="3" type="noConversion"/>
  </si>
  <si>
    <t>USB2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</si>
  <si>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</si>
  <si>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 xml:space="preserve">USB 5V Power Supply </t>
    <phoneticPr fontId="3" type="noConversion"/>
  </si>
  <si>
    <t>USB20_ID</t>
    <phoneticPr fontId="3" type="noConversion"/>
  </si>
  <si>
    <t>USB Mini-Receptacle Identifier</t>
    <phoneticPr fontId="3" type="noConversion"/>
  </si>
  <si>
    <t>3.3V</t>
    <phoneticPr fontId="3" type="noConversion"/>
  </si>
  <si>
    <t>USB20_DP</t>
    <phoneticPr fontId="3" type="noConversion"/>
  </si>
  <si>
    <t>USB D+ Signal</t>
    <phoneticPr fontId="3" type="noConversion"/>
  </si>
  <si>
    <t>USB20_DM</t>
    <phoneticPr fontId="3" type="noConversion"/>
  </si>
  <si>
    <t>USB D- Signal</t>
    <phoneticPr fontId="3" type="noConversion"/>
  </si>
  <si>
    <t>USB20_TXRTUNE</t>
    <phoneticPr fontId="3" type="noConversion"/>
  </si>
  <si>
    <t>Transmitter Register Tune Pin</t>
    <phoneticPr fontId="3" type="noConversion"/>
  </si>
  <si>
    <t>test_usb[0]</t>
  </si>
  <si>
    <t>test_usb[1]</t>
  </si>
  <si>
    <t>test_usb[2]</t>
  </si>
  <si>
    <t>test_usb[3]</t>
  </si>
  <si>
    <t>test_usb[4]</t>
  </si>
  <si>
    <t>test_usb[5]</t>
  </si>
  <si>
    <t>test_usb[6]</t>
  </si>
  <si>
    <t>IOM_CTRL14</t>
    <phoneticPr fontId="3" type="noConversion"/>
  </si>
  <si>
    <t>gpio0[1]</t>
    <phoneticPr fontId="3" type="noConversion"/>
  </si>
  <si>
    <t>gpio0[2]</t>
    <phoneticPr fontId="3" type="noConversion"/>
  </si>
  <si>
    <t>uart0_ctrl1_1:ios_mf_ctrl0[0]:D0</t>
  </si>
  <si>
    <t>gpio0_2_ctrl1_1:ios_mf_ctrl1[0]:D0</t>
  </si>
  <si>
    <t>gpio0_3_ctrl1_1:ios_mf_ctrl1[1]:D0</t>
  </si>
  <si>
    <t>gpio0_4_ctrl1_1:ios_mf_ctrl1[2]:D0</t>
  </si>
  <si>
    <t>gpio0_5_ctrl1_1:ios_mf_ctrl1[3]:D0</t>
  </si>
  <si>
    <t>gpio0_1_ctrl1_1:ios_af_ctrl0[1]:D0</t>
  </si>
  <si>
    <t>tst_usb_0_ctrl1_1:ios_af_ctrl5[0]:D0</t>
  </si>
  <si>
    <t>tst_usb_1_ctrl1_1:ios_af_ctrl5[1]:D0</t>
  </si>
  <si>
    <t>tst_usb_2_ctrl1_1:ios_af_ctrl5[2]:D0</t>
  </si>
  <si>
    <t>tst_usb_3_ctrl1_1:ios_af_ctrl5[3]:D0</t>
  </si>
  <si>
    <t>tst_usb_4_ctrl1_1:ios_af_ctrl5[4]:D0</t>
  </si>
  <si>
    <t>tst_usb_5_ctrl1_1:ios_af_ctrl5[5]:D0</t>
  </si>
  <si>
    <t>pcie_wake_n</t>
  </si>
  <si>
    <t>GPIO_0_02</t>
    <phoneticPr fontId="3" type="noConversion"/>
  </si>
  <si>
    <t>GPIO_0_03</t>
  </si>
  <si>
    <t>GPIO_0_04</t>
  </si>
  <si>
    <t>GPIO_0_05</t>
  </si>
  <si>
    <t>pcie_wake_ctrl1_1:ios_af_ctrl1[0]:D0</t>
    <phoneticPr fontId="3" type="noConversion"/>
  </si>
  <si>
    <t>tst_usb_6_ctrl1_1:ios_af_ctrl5[6]:D0</t>
    <phoneticPr fontId="3" type="noConversion"/>
  </si>
  <si>
    <t>usim0_data</t>
    <phoneticPr fontId="3" type="noConversion"/>
  </si>
  <si>
    <t>usim0_ctrl1_1:ios_mf_ctrl2[0]:D0</t>
    <phoneticPr fontId="3" type="noConversion"/>
  </si>
  <si>
    <t>GPIO(4个pin）</t>
    <phoneticPr fontId="3" type="noConversion"/>
  </si>
  <si>
    <t>1、RSTOUT_N的方向修改回OD
2、PIN数目更新</t>
    <phoneticPr fontId="3" type="noConversion"/>
  </si>
  <si>
    <t>王润泽/00126104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</si>
  <si>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</si>
  <si>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单封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</si>
  <si>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</si>
  <si>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</si>
  <si>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</si>
  <si>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</si>
  <si>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</si>
  <si>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</si>
  <si>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</si>
  <si>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</si>
  <si>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</si>
  <si>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</si>
  <si>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</si>
  <si>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</si>
  <si>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</si>
  <si>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</si>
  <si>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</si>
  <si>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</si>
  <si>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</si>
  <si>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</si>
  <si>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</si>
  <si>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</si>
  <si>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</si>
  <si>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MMC1</t>
  </si>
  <si>
    <t>1.5/0</t>
    <phoneticPr fontId="50" type="noConversion"/>
  </si>
  <si>
    <t>VDDM_MMC1</t>
  </si>
  <si>
    <t>VDD18_MMC1</t>
  </si>
  <si>
    <t>3.0/1.8</t>
    <phoneticPr fontId="50" type="noConversion"/>
  </si>
  <si>
    <t>VDD33_MMC1</t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</si>
  <si>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</si>
  <si>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</si>
  <si>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</si>
  <si>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</si>
  <si>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</si>
  <si>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</si>
  <si>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</si>
  <si>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</si>
  <si>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</si>
  <si>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</si>
  <si>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</si>
  <si>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</si>
  <si>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</si>
  <si>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</si>
  <si>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</si>
  <si>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</si>
  <si>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</si>
  <si>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</si>
  <si>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</si>
  <si>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</si>
  <si>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</si>
  <si>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</si>
  <si>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</si>
  <si>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</si>
  <si>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</si>
  <si>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</si>
  <si>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</si>
  <si>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CH0_AVDD09_PLL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</si>
  <si>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</si>
  <si>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</si>
  <si>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</si>
  <si>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</si>
  <si>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</si>
  <si>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</si>
  <si>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</si>
  <si>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</si>
  <si>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USB2.0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</si>
  <si>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</si>
  <si>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</si>
  <si>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</si>
  <si>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</si>
  <si>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</si>
  <si>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</si>
  <si>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</si>
  <si>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</si>
  <si>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</si>
  <si>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</si>
  <si>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</si>
  <si>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</si>
  <si>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</si>
  <si>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</si>
  <si>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</si>
  <si>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</si>
  <si>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</si>
  <si>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</si>
  <si>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</si>
  <si>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</si>
  <si>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</si>
  <si>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</si>
  <si>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</si>
  <si>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</si>
  <si>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</si>
  <si>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</si>
  <si>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</si>
  <si>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</si>
  <si>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</si>
  <si>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</si>
  <si>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</si>
  <si>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</si>
  <si>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</si>
  <si>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</si>
  <si>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MMC1</t>
    <phoneticPr fontId="50" type="noConversion"/>
  </si>
  <si>
    <t>PMU(10个pin)</t>
    <phoneticPr fontId="3" type="noConversion"/>
  </si>
  <si>
    <t>1、供电描述更新
2、PIN数目更新
3、增加PKG单封</t>
    <phoneticPr fontId="3" type="noConversion"/>
  </si>
  <si>
    <t>1、修改USIM0_DATA默认状态为OL</t>
    <phoneticPr fontId="3" type="noConversion"/>
  </si>
  <si>
    <t>uart0_ctrl1_1:ios_mf_ctrl0[0]:D0</t>
    <phoneticPr fontId="3" type="noConversion"/>
  </si>
  <si>
    <t>pmu_hold_ctrl1_1:ios_mf_ctrl0[1]:D0</t>
    <phoneticPr fontId="3" type="noConversion"/>
  </si>
  <si>
    <t>1、pmu_hold增加寄存器ios_mf_ctrl0[1]进行选通控制；将gpio0[0]复用到pmu_hold上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</si>
  <si>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</si>
  <si>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</si>
  <si>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</si>
  <si>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</si>
  <si>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</si>
  <si>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</si>
  <si>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</si>
  <si>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</si>
  <si>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clkin_sleep</t>
  </si>
  <si>
    <t>rstin_n</t>
  </si>
  <si>
    <t>rstout_n</t>
  </si>
  <si>
    <t>pmu_irq_n</t>
  </si>
  <si>
    <t>pmu_ssi</t>
  </si>
  <si>
    <t>pmu_hkadc_ssi</t>
  </si>
  <si>
    <t>pmu_auxdac0_ssi</t>
  </si>
  <si>
    <t>ch0_tcxo_en</t>
  </si>
  <si>
    <t>peri_en</t>
  </si>
  <si>
    <t>pmu_hold</t>
  </si>
  <si>
    <t>uart0_txd</t>
  </si>
  <si>
    <t>uart0_rxd</t>
  </si>
  <si>
    <t>jtag_dft_mode</t>
  </si>
  <si>
    <t>usb20_vbus</t>
  </si>
  <si>
    <t>usb20_id</t>
  </si>
  <si>
    <t>usb20_dp</t>
  </si>
  <si>
    <t>usb20_dm</t>
  </si>
  <si>
    <t>usb20_txrtune</t>
  </si>
  <si>
    <t>usim0_clk</t>
    <phoneticPr fontId="3" type="noConversion"/>
  </si>
  <si>
    <t>usim0_rst</t>
    <phoneticPr fontId="3" type="noConversion"/>
  </si>
  <si>
    <t>usim0_data</t>
    <phoneticPr fontId="3" type="noConversion"/>
  </si>
  <si>
    <t>gpio0[2]</t>
    <phoneticPr fontId="3" type="noConversion"/>
  </si>
  <si>
    <t>default</t>
    <phoneticPr fontId="3" type="noConversion"/>
  </si>
  <si>
    <t>PMU_HOLD</t>
    <phoneticPr fontId="3" type="noConversion"/>
  </si>
  <si>
    <t>pull-up</t>
  </si>
  <si>
    <t>default</t>
    <phoneticPr fontId="3" type="noConversion"/>
  </si>
  <si>
    <t>default</t>
    <phoneticPr fontId="3" type="noConversion"/>
  </si>
  <si>
    <t>USB(5个pin）</t>
    <phoneticPr fontId="3" type="noConversion"/>
  </si>
  <si>
    <t>default</t>
    <phoneticPr fontId="3" type="noConversion"/>
  </si>
  <si>
    <t>6'h20</t>
    <phoneticPr fontId="3" type="noConversion"/>
  </si>
  <si>
    <t>OL</t>
    <phoneticPr fontId="3" type="noConversion"/>
  </si>
  <si>
    <t>OH</t>
    <phoneticPr fontId="3" type="noConversion"/>
  </si>
  <si>
    <t>SR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</si>
  <si>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</si>
  <si>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</si>
  <si>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</si>
  <si>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</si>
  <si>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6'h8</t>
    <phoneticPr fontId="3" type="noConversion"/>
  </si>
  <si>
    <t>PU</t>
    <phoneticPr fontId="3" type="noConversion"/>
  </si>
  <si>
    <t>PD</t>
    <phoneticPr fontId="3" type="noConversion"/>
  </si>
  <si>
    <t>6'h10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</si>
  <si>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</si>
  <si>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</si>
  <si>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8'h80</t>
    <phoneticPr fontId="3" type="noConversion"/>
  </si>
  <si>
    <t>OL</t>
    <phoneticPr fontId="3" type="noConversion"/>
  </si>
  <si>
    <t>ST</t>
    <phoneticPr fontId="3" type="noConversion"/>
  </si>
  <si>
    <t>OH</t>
    <phoneticPr fontId="3" type="noConversion"/>
  </si>
  <si>
    <t>SL</t>
    <phoneticPr fontId="3" type="noConversion"/>
  </si>
  <si>
    <t>8'h0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</si>
  <si>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</si>
  <si>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</si>
  <si>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8'h20</t>
    <phoneticPr fontId="3" type="noConversion"/>
  </si>
  <si>
    <t>8'h40</t>
    <phoneticPr fontId="3" type="noConversion"/>
  </si>
  <si>
    <t>TSMC_SD3P0</t>
    <phoneticPr fontId="3" type="noConversion"/>
  </si>
  <si>
    <t>5'h10</t>
    <phoneticPr fontId="3" type="noConversion"/>
  </si>
  <si>
    <t>5'h0</t>
    <phoneticPr fontId="3" type="noConversion"/>
  </si>
  <si>
    <t>5'h4</t>
    <phoneticPr fontId="3" type="noConversion"/>
  </si>
  <si>
    <t>5'h8</t>
    <phoneticPr fontId="3" type="noConversion"/>
  </si>
  <si>
    <t>HISI4D</t>
    <phoneticPr fontId="3" type="noConversion"/>
  </si>
  <si>
    <t>初始状态</t>
    <phoneticPr fontId="3" type="noConversion"/>
  </si>
  <si>
    <t>低bit位置</t>
    <phoneticPr fontId="3" type="noConversion"/>
  </si>
  <si>
    <t>高bit位置</t>
    <phoneticPr fontId="3" type="noConversion"/>
  </si>
  <si>
    <t>含义</t>
    <phoneticPr fontId="3" type="noConversion"/>
  </si>
  <si>
    <t>IO Foundry</t>
    <phoneticPr fontId="3" type="noConversion"/>
  </si>
  <si>
    <t>输入门控控制</t>
    <phoneticPr fontId="3" type="noConversion"/>
  </si>
  <si>
    <t>12'hE00</t>
    <phoneticPr fontId="3" type="noConversion"/>
  </si>
  <si>
    <t>IOS_IOM_CTRL基地址</t>
    <phoneticPr fontId="3" type="noConversion"/>
  </si>
  <si>
    <t>数据位宽</t>
    <phoneticPr fontId="3" type="noConversion"/>
  </si>
  <si>
    <t>12'hD00</t>
    <phoneticPr fontId="3" type="noConversion"/>
  </si>
  <si>
    <t>IOS_AF_CTRL基地址</t>
    <phoneticPr fontId="3" type="noConversion"/>
  </si>
  <si>
    <t>地址位宽</t>
    <phoneticPr fontId="3" type="noConversion"/>
  </si>
  <si>
    <t>0x90010000</t>
    <phoneticPr fontId="3" type="noConversion"/>
  </si>
  <si>
    <t>IOS基地址</t>
    <phoneticPr fontId="3" type="noConversion"/>
  </si>
  <si>
    <t>SV interface</t>
    <phoneticPr fontId="3" type="noConversion"/>
  </si>
  <si>
    <t>接口类型</t>
    <phoneticPr fontId="3" type="noConversion"/>
  </si>
  <si>
    <t>APB</t>
    <phoneticPr fontId="3" type="noConversion"/>
  </si>
  <si>
    <t>配置信息</t>
    <phoneticPr fontId="3" type="noConversion"/>
  </si>
  <si>
    <t>12'hC00</t>
    <phoneticPr fontId="3" type="noConversion"/>
  </si>
  <si>
    <t>IOS_MF_CTRL基地址</t>
    <phoneticPr fontId="3" type="noConversion"/>
  </si>
  <si>
    <t>当前目录\xx_ios_ao_config.h</t>
    <phoneticPr fontId="3" type="noConversion"/>
  </si>
  <si>
    <t>生成文件路径：</t>
    <phoneticPr fontId="3" type="noConversion"/>
  </si>
  <si>
    <t>V711_UDP</t>
    <phoneticPr fontId="3" type="noConversion"/>
  </si>
  <si>
    <t>请输入产品名称：</t>
    <phoneticPr fontId="3" type="noConversion"/>
  </si>
</sst>
</file>

<file path=xl/styles.xml><?xml version="1.0" encoding="utf-8"?>
<styleSheet xmlns="http://schemas.openxmlformats.org/spreadsheetml/2006/main">
  <fonts count="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70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7" applyFill="1">
      <alignment vertical="center"/>
    </xf>
    <xf numFmtId="0" fontId="2" fillId="27" borderId="0" xfId="7" applyFill="1">
      <alignment vertical="center"/>
    </xf>
    <xf numFmtId="0" fontId="2" fillId="29" borderId="0" xfId="7" applyFill="1">
      <alignment vertical="center"/>
    </xf>
    <xf numFmtId="0" fontId="2" fillId="28" borderId="0" xfId="7" applyFill="1">
      <alignment vertical="center"/>
    </xf>
    <xf numFmtId="0" fontId="2" fillId="26" borderId="0" xfId="7" applyFill="1">
      <alignment vertical="center"/>
    </xf>
    <xf numFmtId="0" fontId="2" fillId="28" borderId="1" xfId="7" applyFill="1" applyBorder="1">
      <alignment vertical="center"/>
    </xf>
    <xf numFmtId="0" fontId="2" fillId="28" borderId="5" xfId="7" applyFill="1" applyBorder="1">
      <alignment vertical="center"/>
    </xf>
    <xf numFmtId="0" fontId="2" fillId="27" borderId="1" xfId="7" applyFill="1" applyBorder="1">
      <alignment vertical="center"/>
    </xf>
    <xf numFmtId="0" fontId="2" fillId="29" borderId="1" xfId="7" applyFill="1" applyBorder="1">
      <alignment vertical="center"/>
    </xf>
    <xf numFmtId="0" fontId="2" fillId="28" borderId="6" xfId="7" applyFill="1" applyBorder="1">
      <alignment vertical="center"/>
    </xf>
    <xf numFmtId="0" fontId="2" fillId="26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1" xfId="10" applyFont="1" applyFill="1" applyBorder="1">
      <alignment vertical="center"/>
    </xf>
    <xf numFmtId="0" fontId="0" fillId="32" borderId="6" xfId="0" applyFill="1" applyBorder="1" applyAlignment="1">
      <alignment horizontal="left" vertical="center"/>
    </xf>
    <xf numFmtId="0" fontId="18" fillId="32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0" fillId="3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7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10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2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27" borderId="3" xfId="0" applyFont="1" applyFill="1" applyBorder="1" applyAlignment="1">
      <alignment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2" borderId="1" xfId="6" applyFont="1" applyFill="1" applyBorder="1" applyAlignment="1">
      <alignment vertical="center"/>
    </xf>
    <xf numFmtId="0" fontId="7" fillId="32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3" fillId="32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2" fillId="27" borderId="6" xfId="7" applyFont="1" applyFill="1" applyBorder="1">
      <alignment vertical="center"/>
    </xf>
    <xf numFmtId="0" fontId="8" fillId="10" borderId="4" xfId="10" applyFont="1" applyFill="1" applyBorder="1" applyAlignment="1">
      <alignment horizontal="left" vertical="center"/>
    </xf>
    <xf numFmtId="0" fontId="18" fillId="10" borderId="0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2" fillId="30" borderId="4" xfId="0" applyFont="1" applyFill="1" applyBorder="1" applyAlignment="1">
      <alignment vertical="center"/>
    </xf>
    <xf numFmtId="0" fontId="2" fillId="30" borderId="5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 wrapText="1"/>
    </xf>
    <xf numFmtId="0" fontId="2" fillId="30" borderId="1" xfId="7" applyFont="1" applyFill="1" applyBorder="1">
      <alignment vertical="center"/>
    </xf>
    <xf numFmtId="0" fontId="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1" fillId="10" borderId="7" xfId="1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8" fillId="30" borderId="6" xfId="10" applyFont="1" applyFill="1" applyBorder="1" applyAlignment="1">
      <alignment horizontal="left" vertical="center"/>
    </xf>
    <xf numFmtId="0" fontId="8" fillId="30" borderId="0" xfId="10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25" borderId="1" xfId="0" applyFont="1" applyFill="1" applyBorder="1" applyAlignment="1">
      <alignment vertical="center"/>
    </xf>
    <xf numFmtId="0" fontId="0" fillId="30" borderId="0" xfId="0" applyFill="1" applyAlignment="1">
      <alignment vertical="center"/>
    </xf>
    <xf numFmtId="0" fontId="58" fillId="10" borderId="6" xfId="10" applyFont="1" applyFill="1" applyBorder="1" applyAlignment="1">
      <alignment horizontal="left" vertical="center"/>
    </xf>
    <xf numFmtId="0" fontId="41" fillId="7" borderId="1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8" fillId="10" borderId="3" xfId="10" applyFont="1" applyFill="1" applyBorder="1" applyAlignment="1">
      <alignment vertical="center"/>
    </xf>
    <xf numFmtId="0" fontId="10" fillId="27" borderId="7" xfId="0" applyFont="1" applyFill="1" applyBorder="1" applyAlignment="1">
      <alignment vertical="center"/>
    </xf>
    <xf numFmtId="0" fontId="8" fillId="27" borderId="8" xfId="0" applyFont="1" applyFill="1" applyBorder="1" applyAlignment="1">
      <alignment vertical="center"/>
    </xf>
    <xf numFmtId="0" fontId="58" fillId="27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32" borderId="6" xfId="10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10" fillId="0" borderId="0" xfId="7" applyFont="1" applyFill="1" applyBorder="1">
      <alignment vertical="center"/>
    </xf>
    <xf numFmtId="0" fontId="8" fillId="0" borderId="0" xfId="1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59" fillId="10" borderId="6" xfId="10" applyFont="1" applyFill="1" applyBorder="1" applyAlignment="1">
      <alignment horizontal="left" vertical="center"/>
    </xf>
    <xf numFmtId="0" fontId="59" fillId="25" borderId="1" xfId="0" applyFont="1" applyFill="1" applyBorder="1" applyAlignment="1">
      <alignment vertical="center"/>
    </xf>
    <xf numFmtId="0" fontId="59" fillId="25" borderId="6" xfId="10" applyFont="1" applyFill="1" applyBorder="1" applyAlignment="1">
      <alignment horizontal="left" vertical="center"/>
    </xf>
    <xf numFmtId="0" fontId="0" fillId="0" borderId="0" xfId="19" applyFont="1">
      <alignment vertical="center"/>
    </xf>
    <xf numFmtId="0" fontId="0" fillId="17" borderId="1" xfId="19" applyFont="1" applyFill="1" applyBorder="1">
      <alignment vertical="center"/>
    </xf>
    <xf numFmtId="0" fontId="2" fillId="17" borderId="1" xfId="19" applyFont="1" applyFill="1" applyBorder="1">
      <alignment vertical="center"/>
    </xf>
    <xf numFmtId="0" fontId="2" fillId="0" borderId="0" xfId="19" applyFont="1">
      <alignment vertical="center"/>
    </xf>
    <xf numFmtId="0" fontId="0" fillId="13" borderId="1" xfId="19" applyFont="1" applyFill="1" applyBorder="1">
      <alignment vertical="center"/>
    </xf>
    <xf numFmtId="0" fontId="2" fillId="13" borderId="1" xfId="19" applyFont="1" applyFill="1" applyBorder="1">
      <alignment vertical="center"/>
    </xf>
    <xf numFmtId="0" fontId="2" fillId="15" borderId="1" xfId="19" applyFont="1" applyFill="1" applyBorder="1">
      <alignment vertical="center"/>
    </xf>
    <xf numFmtId="0" fontId="0" fillId="15" borderId="1" xfId="19" applyFont="1" applyFill="1" applyBorder="1">
      <alignment vertical="center"/>
    </xf>
    <xf numFmtId="0" fontId="2" fillId="0" borderId="28" xfId="19" applyFont="1" applyBorder="1">
      <alignment vertical="center"/>
    </xf>
    <xf numFmtId="0" fontId="0" fillId="0" borderId="15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3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12" xfId="19" applyFont="1" applyBorder="1">
      <alignment vertical="center"/>
    </xf>
    <xf numFmtId="0" fontId="2" fillId="0" borderId="0" xfId="19" applyFont="1" applyBorder="1">
      <alignment vertical="center"/>
    </xf>
    <xf numFmtId="0" fontId="0" fillId="34" borderId="0" xfId="19" applyFont="1" applyFill="1" applyBorder="1">
      <alignment vertical="center"/>
    </xf>
    <xf numFmtId="0" fontId="0" fillId="34" borderId="12" xfId="19" applyFont="1" applyFill="1" applyBorder="1">
      <alignment vertical="center"/>
    </xf>
    <xf numFmtId="0" fontId="37" fillId="34" borderId="15" xfId="6" applyFont="1" applyFill="1" applyBorder="1" applyAlignment="1">
      <alignment horizontal="left" vertical="center"/>
    </xf>
    <xf numFmtId="0" fontId="37" fillId="34" borderId="0" xfId="6" applyFont="1" applyFill="1" applyBorder="1" applyAlignment="1">
      <alignment horizontal="left" vertical="center"/>
    </xf>
    <xf numFmtId="0" fontId="2" fillId="34" borderId="0" xfId="6" applyFill="1" applyBorder="1" applyAlignment="1">
      <alignment horizontal="left" vertical="center"/>
    </xf>
    <xf numFmtId="0" fontId="2" fillId="34" borderId="0" xfId="6" applyFont="1" applyFill="1" applyBorder="1" applyAlignment="1">
      <alignment horizontal="left" vertical="center"/>
    </xf>
    <xf numFmtId="0" fontId="0" fillId="34" borderId="0" xfId="19" applyFont="1" applyFill="1">
      <alignment vertical="center"/>
    </xf>
    <xf numFmtId="0" fontId="2" fillId="34" borderId="15" xfId="6" applyFont="1" applyFill="1" applyBorder="1" applyAlignment="1">
      <alignment horizontal="center" vertical="center"/>
    </xf>
    <xf numFmtId="0" fontId="0" fillId="0" borderId="11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9" xfId="19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0" fontId="53" fillId="0" borderId="8" xfId="0" applyFont="1" applyBorder="1" applyAlignment="1">
      <alignment vertical="center" wrapText="1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1" xfId="10" applyFon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32" borderId="7" xfId="0" applyFill="1" applyBorder="1" applyAlignment="1">
      <alignment horizontal="center" vertical="center" wrapText="1"/>
    </xf>
    <xf numFmtId="0" fontId="0" fillId="32" borderId="8" xfId="0" applyFill="1" applyBorder="1" applyAlignment="1">
      <alignment vertical="center"/>
    </xf>
    <xf numFmtId="0" fontId="0" fillId="32" borderId="3" xfId="0" applyFill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2" borderId="9" xfId="0" applyFill="1" applyBorder="1" applyAlignment="1">
      <alignment horizontal="center" vertical="center" wrapText="1"/>
    </xf>
    <xf numFmtId="0" fontId="0" fillId="32" borderId="12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17" borderId="1" xfId="19" applyFont="1" applyFill="1" applyBorder="1" applyAlignment="1">
      <alignment vertical="center" wrapText="1"/>
    </xf>
    <xf numFmtId="0" fontId="0" fillId="17" borderId="1" xfId="19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2" fillId="15" borderId="1" xfId="19" applyFont="1" applyFill="1" applyBorder="1" applyAlignment="1">
      <alignment vertical="center"/>
    </xf>
    <xf numFmtId="0" fontId="2" fillId="15" borderId="1" xfId="6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</cellXfs>
  <cellStyles count="22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6 2" xfId="20"/>
    <cellStyle name="常规 7" xfId="21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CC99FF"/>
      <color rgb="FF00FF00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2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32" sqref="B32"/>
    </sheetView>
  </sheetViews>
  <sheetFormatPr defaultColWidth="9" defaultRowHeight="14.25"/>
  <cols>
    <col min="1" max="1" width="29.5" style="33" customWidth="1"/>
    <col min="2" max="2" width="53.75" style="33" customWidth="1"/>
    <col min="3" max="3" width="39.625" style="33" customWidth="1"/>
    <col min="4" max="16384" width="9" style="5"/>
  </cols>
  <sheetData>
    <row r="1" spans="1:3" s="41" customFormat="1">
      <c r="A1" s="1" t="s">
        <v>26</v>
      </c>
      <c r="B1" s="1" t="s">
        <v>27</v>
      </c>
      <c r="C1" s="1" t="s">
        <v>28</v>
      </c>
    </row>
    <row r="2" spans="1:3" s="41" customFormat="1" ht="28.5">
      <c r="A2" s="42">
        <v>41655</v>
      </c>
      <c r="B2" s="76" t="s">
        <v>824</v>
      </c>
      <c r="C2" s="44" t="s">
        <v>825</v>
      </c>
    </row>
    <row r="3" spans="1:3" s="41" customFormat="1" ht="42.75">
      <c r="A3" s="42">
        <v>41659</v>
      </c>
      <c r="B3" s="76" t="s">
        <v>928</v>
      </c>
      <c r="C3" s="44" t="s">
        <v>825</v>
      </c>
    </row>
    <row r="4" spans="1:3" s="41" customFormat="1">
      <c r="A4" s="42">
        <v>41663</v>
      </c>
      <c r="B4" s="76" t="s">
        <v>929</v>
      </c>
      <c r="C4" s="44" t="s">
        <v>825</v>
      </c>
    </row>
    <row r="5" spans="1:3" ht="28.5">
      <c r="A5" s="42">
        <v>41712</v>
      </c>
      <c r="B5" s="76" t="s">
        <v>932</v>
      </c>
      <c r="C5" s="44" t="s">
        <v>825</v>
      </c>
    </row>
    <row r="6" spans="1:3">
      <c r="A6" s="42"/>
      <c r="B6" s="76"/>
      <c r="C6" s="44"/>
    </row>
    <row r="7" spans="1:3">
      <c r="A7" s="42"/>
      <c r="B7" s="76"/>
      <c r="C7" s="44"/>
    </row>
    <row r="8" spans="1:3">
      <c r="A8" s="42"/>
      <c r="B8" s="76"/>
      <c r="C8" s="44"/>
    </row>
    <row r="9" spans="1:3">
      <c r="A9" s="42"/>
      <c r="B9" s="76"/>
      <c r="C9" s="44"/>
    </row>
    <row r="10" spans="1:3">
      <c r="A10" s="42"/>
      <c r="B10" s="76"/>
      <c r="C10" s="44"/>
    </row>
    <row r="11" spans="1:3">
      <c r="A11" s="42"/>
      <c r="B11" s="76"/>
      <c r="C11" s="44"/>
    </row>
    <row r="12" spans="1:3">
      <c r="A12" s="42"/>
      <c r="B12" s="76"/>
      <c r="C12" s="44"/>
    </row>
    <row r="13" spans="1:3">
      <c r="A13" s="42"/>
      <c r="B13" s="76"/>
      <c r="C13" s="44"/>
    </row>
    <row r="14" spans="1:3">
      <c r="A14" s="42"/>
      <c r="B14" s="76"/>
      <c r="C14" s="44"/>
    </row>
    <row r="15" spans="1:3">
      <c r="A15" s="42"/>
      <c r="B15" s="76"/>
      <c r="C15" s="44"/>
    </row>
    <row r="16" spans="1:3">
      <c r="A16" s="42"/>
      <c r="B16" s="76"/>
      <c r="C16" s="44"/>
    </row>
    <row r="17" spans="1:3">
      <c r="A17" s="42"/>
      <c r="B17" s="76"/>
      <c r="C17" s="44"/>
    </row>
    <row r="18" spans="1:3">
      <c r="A18" s="42"/>
      <c r="B18" s="76"/>
      <c r="C18" s="44"/>
    </row>
    <row r="19" spans="1:3">
      <c r="A19" s="42"/>
      <c r="B19" s="76"/>
      <c r="C19" s="44"/>
    </row>
    <row r="20" spans="1:3">
      <c r="A20" s="42"/>
      <c r="B20" s="76"/>
      <c r="C20" s="1"/>
    </row>
    <row r="21" spans="1:3">
      <c r="A21" s="42"/>
      <c r="B21" s="76"/>
      <c r="C21" s="1"/>
    </row>
    <row r="22" spans="1:3">
      <c r="A22" s="42"/>
      <c r="B22" s="76"/>
      <c r="C22" s="1"/>
    </row>
    <row r="23" spans="1:3">
      <c r="A23" s="42"/>
      <c r="B23" s="76"/>
      <c r="C23" s="1"/>
    </row>
    <row r="24" spans="1:3">
      <c r="A24" s="42"/>
      <c r="B24" s="76"/>
      <c r="C24" s="1"/>
    </row>
    <row r="25" spans="1:3">
      <c r="A25" s="42"/>
      <c r="B25" s="44"/>
      <c r="C25" s="1"/>
    </row>
    <row r="26" spans="1:3">
      <c r="A26" s="42"/>
      <c r="B26" s="44"/>
      <c r="C26" s="1"/>
    </row>
    <row r="27" spans="1:3">
      <c r="A27" s="42"/>
      <c r="B27" s="1"/>
      <c r="C27" s="1"/>
    </row>
    <row r="28" spans="1:3">
      <c r="A28" s="42"/>
      <c r="B28" s="44"/>
      <c r="C28" s="1"/>
    </row>
    <row r="29" spans="1:3">
      <c r="A29" s="42"/>
      <c r="B29" s="1"/>
      <c r="C29" s="1"/>
    </row>
    <row r="30" spans="1:3">
      <c r="A30" s="42"/>
      <c r="B30" s="44"/>
      <c r="C30" s="1"/>
    </row>
    <row r="31" spans="1:3">
      <c r="A31" s="42"/>
      <c r="B31" s="1"/>
      <c r="C31" s="1"/>
    </row>
    <row r="32" spans="1:3">
      <c r="A32" s="42"/>
      <c r="B32" s="57"/>
      <c r="C32" s="1"/>
    </row>
    <row r="33" spans="1:3">
      <c r="A33" s="42"/>
      <c r="B33" s="58"/>
      <c r="C33" s="1"/>
    </row>
    <row r="34" spans="1:3">
      <c r="A34" s="42"/>
      <c r="B34" s="59"/>
      <c r="C34" s="1"/>
    </row>
    <row r="35" spans="1:3">
      <c r="A35" s="42"/>
      <c r="B35" s="44"/>
      <c r="C35" s="1"/>
    </row>
    <row r="36" spans="1:3" s="25" customFormat="1" ht="15">
      <c r="A36" s="42"/>
      <c r="B36" s="44"/>
      <c r="C36" s="1"/>
    </row>
    <row r="37" spans="1:3" s="25" customFormat="1" ht="15">
      <c r="A37" s="42"/>
      <c r="B37" s="60"/>
      <c r="C37" s="1"/>
    </row>
    <row r="38" spans="1:3" s="25" customFormat="1" ht="15">
      <c r="A38" s="42"/>
      <c r="B38" s="44"/>
      <c r="C38" s="1"/>
    </row>
    <row r="39" spans="1:3" s="25" customFormat="1" ht="15">
      <c r="A39" s="42"/>
      <c r="B39" s="1"/>
      <c r="C39" s="1"/>
    </row>
    <row r="40" spans="1:3" s="25" customFormat="1" ht="15">
      <c r="A40" s="42"/>
      <c r="B40" s="1"/>
      <c r="C40" s="1"/>
    </row>
    <row r="41" spans="1:3" s="25" customFormat="1" ht="15">
      <c r="A41" s="42"/>
      <c r="B41" s="1"/>
      <c r="C41" s="1"/>
    </row>
    <row r="42" spans="1:3" s="25" customFormat="1" ht="15">
      <c r="A42" s="42"/>
      <c r="B42" s="62"/>
      <c r="C42" s="1"/>
    </row>
    <row r="43" spans="1:3" s="25" customFormat="1" ht="15">
      <c r="A43" s="42"/>
      <c r="B43" s="1"/>
      <c r="C43" s="1"/>
    </row>
    <row r="44" spans="1:3" s="25" customFormat="1" ht="15">
      <c r="A44" s="42"/>
      <c r="B44" s="1"/>
      <c r="C44" s="1"/>
    </row>
    <row r="45" spans="1:3" s="25" customFormat="1" ht="15">
      <c r="A45" s="42"/>
      <c r="B45" s="1"/>
      <c r="C45" s="1"/>
    </row>
    <row r="46" spans="1:3" s="25" customFormat="1" ht="15">
      <c r="A46" s="42"/>
      <c r="B46" s="1"/>
      <c r="C46" s="1"/>
    </row>
    <row r="47" spans="1:3" s="25" customFormat="1" ht="15">
      <c r="A47" s="42"/>
      <c r="B47" s="1"/>
      <c r="C47" s="1"/>
    </row>
    <row r="48" spans="1:3" s="25" customFormat="1" ht="15">
      <c r="A48" s="42"/>
      <c r="B48" s="44"/>
      <c r="C48" s="1"/>
    </row>
    <row r="49" spans="1:3" s="25" customFormat="1" ht="15">
      <c r="A49" s="42"/>
      <c r="B49" s="63"/>
      <c r="C49" s="1"/>
    </row>
    <row r="50" spans="1:3" s="25" customFormat="1" ht="15">
      <c r="A50" s="42"/>
      <c r="B50" s="44"/>
      <c r="C50" s="1"/>
    </row>
    <row r="51" spans="1:3" s="25" customFormat="1" ht="15">
      <c r="A51" s="42"/>
      <c r="B51" s="1"/>
      <c r="C51" s="1"/>
    </row>
    <row r="52" spans="1:3" s="25" customFormat="1" ht="15">
      <c r="A52" s="42"/>
      <c r="B52" s="1"/>
      <c r="C52" s="1"/>
    </row>
    <row r="53" spans="1:3" s="25" customFormat="1" ht="15">
      <c r="A53" s="42"/>
      <c r="B53" s="1"/>
      <c r="C53" s="1"/>
    </row>
    <row r="54" spans="1:3" s="25" customFormat="1" ht="15">
      <c r="A54" s="42"/>
      <c r="B54" s="64"/>
      <c r="C54" s="1"/>
    </row>
    <row r="55" spans="1:3" s="25" customFormat="1" ht="15">
      <c r="A55" s="42"/>
      <c r="B55" s="44"/>
      <c r="C55" s="1"/>
    </row>
    <row r="56" spans="1:3" s="25" customFormat="1" ht="15">
      <c r="A56" s="42"/>
      <c r="B56" s="39"/>
      <c r="C56" s="39"/>
    </row>
    <row r="57" spans="1:3" s="25" customFormat="1" ht="15">
      <c r="A57" s="42"/>
      <c r="B57" s="64"/>
      <c r="C57" s="1"/>
    </row>
    <row r="58" spans="1:3" s="25" customFormat="1" ht="15">
      <c r="A58" s="42"/>
      <c r="B58" s="64"/>
      <c r="C58" s="1"/>
    </row>
    <row r="59" spans="1:3" s="25" customFormat="1" ht="15">
      <c r="A59" s="42"/>
      <c r="B59" s="64"/>
      <c r="C59" s="1"/>
    </row>
    <row r="60" spans="1:3" s="25" customFormat="1" ht="15">
      <c r="A60" s="42"/>
      <c r="B60" s="64"/>
      <c r="C60" s="1"/>
    </row>
    <row r="61" spans="1:3" s="25" customFormat="1" ht="15">
      <c r="A61" s="42"/>
      <c r="B61" s="64"/>
      <c r="C61" s="1"/>
    </row>
    <row r="62" spans="1:3" s="25" customFormat="1" ht="15">
      <c r="A62" s="42"/>
      <c r="B62" s="64"/>
      <c r="C62" s="1"/>
    </row>
    <row r="63" spans="1:3" s="25" customFormat="1" ht="15">
      <c r="A63" s="42"/>
      <c r="B63" s="64"/>
      <c r="C63" s="1"/>
    </row>
    <row r="64" spans="1:3" s="25" customFormat="1" ht="15">
      <c r="A64" s="42"/>
      <c r="B64" s="44"/>
      <c r="C64" s="1"/>
    </row>
    <row r="65" spans="1:3" s="25" customFormat="1" ht="15">
      <c r="A65" s="42"/>
      <c r="B65" s="44"/>
      <c r="C65" s="1"/>
    </row>
    <row r="66" spans="1:3" s="25" customFormat="1" ht="15">
      <c r="A66" s="40"/>
      <c r="B66" s="39"/>
      <c r="C66" s="39"/>
    </row>
    <row r="67" spans="1:3" s="25" customFormat="1" ht="15">
      <c r="A67" s="40"/>
      <c r="B67" s="39"/>
      <c r="C67" s="39"/>
    </row>
    <row r="68" spans="1:3" s="25" customFormat="1" ht="15">
      <c r="A68" s="40"/>
      <c r="B68" s="39"/>
      <c r="C68" s="39"/>
    </row>
    <row r="69" spans="1:3" s="25" customFormat="1" ht="15">
      <c r="A69" s="40"/>
      <c r="B69" s="39"/>
      <c r="C69" s="39"/>
    </row>
    <row r="70" spans="1:3" s="25" customFormat="1" ht="15">
      <c r="A70" s="40"/>
      <c r="B70" s="39"/>
      <c r="C70" s="39"/>
    </row>
    <row r="71" spans="1:3" s="25" customFormat="1" ht="15">
      <c r="A71" s="40"/>
      <c r="B71" s="39"/>
      <c r="C71" s="39"/>
    </row>
    <row r="72" spans="1:3" s="25" customFormat="1" ht="15">
      <c r="A72" s="40"/>
      <c r="B72" s="39"/>
      <c r="C72" s="39"/>
    </row>
    <row r="73" spans="1:3" s="25" customFormat="1" ht="15">
      <c r="A73" s="40"/>
      <c r="B73" s="39"/>
      <c r="C73" s="39"/>
    </row>
    <row r="74" spans="1:3" s="25" customFormat="1" ht="15">
      <c r="A74" s="40"/>
      <c r="B74" s="39"/>
      <c r="C74" s="39"/>
    </row>
    <row r="75" spans="1:3" ht="15">
      <c r="A75" s="40"/>
      <c r="B75" s="39"/>
      <c r="C75" s="39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3" t="s">
        <v>42</v>
      </c>
    </row>
    <row r="2" spans="1:5" ht="26.25" customHeight="1">
      <c r="B2" s="15" t="s">
        <v>24</v>
      </c>
      <c r="C2" s="15" t="s">
        <v>5</v>
      </c>
      <c r="D2" s="15" t="s">
        <v>6</v>
      </c>
      <c r="E2" s="15" t="s">
        <v>7</v>
      </c>
    </row>
    <row r="3" spans="1:5" ht="38.25" customHeight="1">
      <c r="B3" s="3" t="s">
        <v>3</v>
      </c>
      <c r="C3" s="322" t="s">
        <v>423</v>
      </c>
      <c r="D3" s="323"/>
      <c r="E3" s="324"/>
    </row>
    <row r="4" spans="1:5" ht="38.25" customHeight="1">
      <c r="B4" s="3" t="s">
        <v>4</v>
      </c>
      <c r="C4" s="29" t="s">
        <v>424</v>
      </c>
      <c r="D4" s="29" t="s">
        <v>425</v>
      </c>
      <c r="E4" s="29" t="s">
        <v>426</v>
      </c>
    </row>
    <row r="5" spans="1:5" ht="38.25" customHeight="1">
      <c r="B5" s="3" t="s">
        <v>2</v>
      </c>
      <c r="C5" s="29"/>
      <c r="D5" s="29">
        <v>0.65</v>
      </c>
      <c r="E5" s="29"/>
    </row>
    <row r="6" spans="1:5" s="12" customFormat="1" ht="27" customHeight="1">
      <c r="B6" s="20" t="s">
        <v>30</v>
      </c>
      <c r="C6" s="325" t="s">
        <v>29</v>
      </c>
      <c r="D6" s="325"/>
      <c r="E6" s="325"/>
    </row>
    <row r="7" spans="1:5" s="12" customFormat="1" ht="12.75" customHeight="1">
      <c r="B7" s="18"/>
      <c r="C7" s="19"/>
      <c r="D7" s="19"/>
      <c r="E7" s="19"/>
    </row>
    <row r="8" spans="1:5" s="12" customFormat="1" ht="37.5" customHeight="1">
      <c r="B8" s="16" t="s">
        <v>20</v>
      </c>
      <c r="C8" s="17" t="s">
        <v>23</v>
      </c>
      <c r="D8" s="17" t="s">
        <v>21</v>
      </c>
      <c r="E8" s="17" t="s">
        <v>22</v>
      </c>
    </row>
    <row r="9" spans="1:5" ht="29.25" customHeight="1">
      <c r="B9" s="3" t="s">
        <v>13</v>
      </c>
      <c r="C9" s="30"/>
      <c r="D9" s="30"/>
      <c r="E9" s="30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8" t="s">
        <v>33</v>
      </c>
      <c r="B11" s="27"/>
    </row>
    <row r="12" spans="1:5" ht="78" customHeight="1">
      <c r="A12" s="5"/>
      <c r="B12" s="16" t="s">
        <v>34</v>
      </c>
      <c r="C12" s="321"/>
      <c r="D12" s="321"/>
      <c r="E12" s="321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6" t="s">
        <v>36</v>
      </c>
    </row>
    <row r="18" spans="1:9" s="22" customFormat="1" ht="148.5" customHeight="1">
      <c r="B18" s="326" t="s">
        <v>35</v>
      </c>
      <c r="C18" s="328"/>
      <c r="D18" s="328"/>
      <c r="E18" s="328"/>
      <c r="F18" s="328"/>
      <c r="G18" s="329"/>
      <c r="H18" s="25"/>
      <c r="I18" s="25"/>
    </row>
    <row r="19" spans="1:9" s="22" customFormat="1" ht="36.75" customHeight="1" thickBot="1">
      <c r="B19" s="327"/>
      <c r="C19" s="21"/>
      <c r="D19" s="330"/>
      <c r="E19" s="330"/>
      <c r="F19" s="330"/>
      <c r="G19" s="331"/>
      <c r="H19" s="25"/>
      <c r="I19" s="25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33" t="s">
        <v>422</v>
      </c>
      <c r="D2" s="334"/>
      <c r="E2" s="335"/>
    </row>
    <row r="3" spans="2:5" ht="18.75">
      <c r="B3" s="4" t="s">
        <v>25</v>
      </c>
      <c r="C3" s="333" t="s">
        <v>421</v>
      </c>
      <c r="D3" s="336"/>
      <c r="E3" s="337"/>
    </row>
    <row r="4" spans="2:5" ht="18.75">
      <c r="B4" s="4" t="s">
        <v>31</v>
      </c>
      <c r="C4" s="332" t="s">
        <v>420</v>
      </c>
      <c r="D4" s="332"/>
      <c r="E4" s="332"/>
    </row>
    <row r="5" spans="2:5" ht="18.75">
      <c r="B5" s="4" t="s">
        <v>32</v>
      </c>
      <c r="C5" s="332" t="s">
        <v>43</v>
      </c>
      <c r="D5" s="332"/>
      <c r="E5" s="332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33"/>
      <c r="D8" s="334"/>
      <c r="E8" s="335"/>
    </row>
    <row r="9" spans="2:5" ht="18.75">
      <c r="B9" s="4" t="s">
        <v>25</v>
      </c>
      <c r="C9" s="333"/>
      <c r="D9" s="336"/>
      <c r="E9" s="337"/>
    </row>
    <row r="10" spans="2:5" ht="18.75">
      <c r="B10" s="4" t="s">
        <v>31</v>
      </c>
      <c r="C10" s="332"/>
      <c r="D10" s="332"/>
      <c r="E10" s="332"/>
    </row>
    <row r="11" spans="2:5" ht="18.75">
      <c r="B11" s="4" t="s">
        <v>32</v>
      </c>
      <c r="C11" s="332"/>
      <c r="D11" s="332"/>
      <c r="E11" s="332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38" t="s">
        <v>41</v>
      </c>
      <c r="C4" s="31"/>
      <c r="D4" s="31">
        <v>0.8</v>
      </c>
      <c r="E4" s="31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39"/>
      <c r="C5" s="31"/>
      <c r="D5" s="31"/>
      <c r="E5" s="31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1">
        <v>0</v>
      </c>
      <c r="D6" s="31"/>
      <c r="E6" s="31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1"/>
      <c r="D7" s="31">
        <v>125</v>
      </c>
      <c r="E7" s="31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1">
        <v>-40</v>
      </c>
      <c r="D8" s="31"/>
      <c r="E8" s="31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1"/>
      <c r="D9" s="31"/>
      <c r="E9" s="31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4"/>
      <c r="D10" s="31"/>
      <c r="E10" s="34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tabSelected="1" zoomScale="130" zoomScaleNormal="130" zoomScaleSheetLayoutView="100" workbookViewId="0">
      <pane xSplit="6" ySplit="2" topLeftCell="G9" activePane="bottomRight" state="frozen"/>
      <selection pane="topRight" activeCell="E1" sqref="E1"/>
      <selection pane="bottomLeft" activeCell="A7" sqref="A7"/>
      <selection pane="bottomRight" activeCell="H20" sqref="H20"/>
    </sheetView>
  </sheetViews>
  <sheetFormatPr defaultColWidth="9" defaultRowHeight="14.25"/>
  <cols>
    <col min="1" max="1" width="26.125" style="235" hidden="1" customWidth="1"/>
    <col min="2" max="2" width="10.125" style="270" hidden="1" customWidth="1"/>
    <col min="3" max="3" width="10.125" style="235" hidden="1" customWidth="1"/>
    <col min="4" max="4" width="7.875" style="235" hidden="1" customWidth="1"/>
    <col min="5" max="5" width="8.125" style="235" hidden="1" customWidth="1"/>
    <col min="6" max="6" width="17.625" style="235" bestFit="1" customWidth="1"/>
    <col min="7" max="7" width="12.625" style="279" customWidth="1"/>
    <col min="8" max="8" width="15.25" style="279" customWidth="1"/>
    <col min="9" max="9" width="12.875" style="279" customWidth="1"/>
    <col min="10" max="10" width="12" style="279" customWidth="1"/>
    <col min="11" max="11" width="9.125" style="279" customWidth="1"/>
    <col min="12" max="12" width="9.875" style="235" bestFit="1" customWidth="1"/>
    <col min="13" max="13" width="11" style="235" bestFit="1" customWidth="1"/>
    <col min="14" max="14" width="12.375" style="235" bestFit="1" customWidth="1"/>
    <col min="15" max="15" width="9.625" style="235" bestFit="1" customWidth="1"/>
    <col min="16" max="16" width="6.625" style="235" bestFit="1" customWidth="1"/>
    <col min="17" max="17" width="19.25" style="235" bestFit="1" customWidth="1"/>
    <col min="18" max="18" width="16.875" style="235" bestFit="1" customWidth="1"/>
    <col min="19" max="19" width="23.75" style="235" bestFit="1" customWidth="1"/>
    <col min="20" max="20" width="16.875" style="234" bestFit="1" customWidth="1"/>
    <col min="21" max="21" width="16" style="235" bestFit="1" customWidth="1"/>
    <col min="22" max="22" width="7.125" style="235" bestFit="1" customWidth="1"/>
    <col min="23" max="23" width="28.25" style="235" bestFit="1" customWidth="1"/>
    <col min="24" max="24" width="9.5" style="235" bestFit="1" customWidth="1"/>
    <col min="25" max="25" width="90.75" style="233" hidden="1" customWidth="1"/>
    <col min="26" max="26" width="24.25" style="235" bestFit="1" customWidth="1"/>
    <col min="27" max="27" width="7.125" style="235" bestFit="1" customWidth="1"/>
    <col min="28" max="28" width="30.375" style="235" bestFit="1" customWidth="1"/>
    <col min="29" max="29" width="6.625" style="235" bestFit="1" customWidth="1"/>
    <col min="30" max="30" width="26.125" style="235" bestFit="1" customWidth="1"/>
    <col min="31" max="31" width="24.25" style="235" bestFit="1" customWidth="1"/>
    <col min="32" max="32" width="7.125" style="235" bestFit="1" customWidth="1"/>
    <col min="33" max="33" width="29.5" style="235" bestFit="1" customWidth="1"/>
    <col min="34" max="34" width="6.125" style="235" bestFit="1" customWidth="1"/>
    <col min="35" max="35" width="12.375" style="235" bestFit="1" customWidth="1"/>
    <col min="36" max="36" width="24.25" style="251" bestFit="1" customWidth="1"/>
    <col min="37" max="37" width="7.125" style="251" bestFit="1" customWidth="1"/>
    <col min="38" max="38" width="11.875" style="251" bestFit="1" customWidth="1"/>
    <col min="39" max="39" width="6.125" style="251" bestFit="1" customWidth="1"/>
    <col min="40" max="40" width="12.375" style="251" bestFit="1" customWidth="1"/>
    <col min="41" max="41" width="24.25" style="252" bestFit="1" customWidth="1"/>
    <col min="42" max="42" width="7.125" style="252" bestFit="1" customWidth="1"/>
    <col min="43" max="43" width="11.875" style="252" bestFit="1" customWidth="1"/>
    <col min="44" max="44" width="6.125" style="252" bestFit="1" customWidth="1"/>
    <col min="45" max="45" width="12.375" style="252" bestFit="1" customWidth="1"/>
    <col min="46" max="46" width="9" style="235" bestFit="1" customWidth="1"/>
    <col min="47" max="47" width="8.25" style="235" bestFit="1" customWidth="1"/>
    <col min="48" max="48" width="9.875" style="235" bestFit="1" customWidth="1"/>
    <col min="49" max="49" width="8.25" style="235" bestFit="1" customWidth="1"/>
    <col min="50" max="50" width="9" style="235"/>
    <col min="51" max="51" width="12.75" style="235" bestFit="1" customWidth="1"/>
    <col min="52" max="52" width="5" style="235" bestFit="1" customWidth="1"/>
    <col min="53" max="53" width="33" style="235" bestFit="1" customWidth="1"/>
    <col min="54" max="54" width="9" style="235"/>
    <col min="55" max="55" width="22.5" style="235" bestFit="1" customWidth="1"/>
    <col min="56" max="67" width="9" style="235"/>
    <col min="68" max="68" width="35.75" style="235" bestFit="1" customWidth="1"/>
    <col min="69" max="78" width="9" style="235"/>
    <col min="79" max="79" width="2.625" style="235" bestFit="1" customWidth="1"/>
    <col min="80" max="119" width="9" style="235"/>
    <col min="120" max="120" width="6.625" style="235" bestFit="1" customWidth="1"/>
    <col min="121" max="121" width="9" style="235"/>
    <col min="122" max="122" width="6.625" style="235" bestFit="1" customWidth="1"/>
    <col min="123" max="16384" width="9" style="235"/>
  </cols>
  <sheetData>
    <row r="1" spans="1:50" s="237" customFormat="1" ht="24" customHeight="1">
      <c r="A1" s="342" t="s">
        <v>674</v>
      </c>
      <c r="B1" s="350" t="s">
        <v>826</v>
      </c>
      <c r="C1" s="350" t="s">
        <v>675</v>
      </c>
      <c r="D1" s="342" t="s">
        <v>676</v>
      </c>
      <c r="E1" s="342" t="s">
        <v>677</v>
      </c>
      <c r="F1" s="342" t="s">
        <v>678</v>
      </c>
      <c r="G1" s="282" t="s">
        <v>933</v>
      </c>
      <c r="H1" s="283" t="s">
        <v>934</v>
      </c>
      <c r="I1" s="283" t="s">
        <v>935</v>
      </c>
      <c r="J1" s="283" t="s">
        <v>936</v>
      </c>
      <c r="K1" s="284" t="s">
        <v>937</v>
      </c>
      <c r="L1" s="342" t="s">
        <v>679</v>
      </c>
      <c r="M1" s="342" t="s">
        <v>680</v>
      </c>
      <c r="N1" s="342" t="s">
        <v>681</v>
      </c>
      <c r="O1" s="342" t="s">
        <v>682</v>
      </c>
      <c r="P1" s="342" t="s">
        <v>683</v>
      </c>
      <c r="Q1" s="340" t="s" ph="1">
        <v>672</v>
      </c>
      <c r="R1" s="340" t="s" ph="1">
        <v>684</v>
      </c>
      <c r="S1" s="340" t="s" ph="1">
        <v>685</v>
      </c>
      <c r="T1" s="342" t="s">
        <v>686</v>
      </c>
      <c r="U1" s="149" t="s">
        <v>687</v>
      </c>
      <c r="V1" s="150"/>
      <c r="W1" s="150"/>
      <c r="X1" s="150"/>
      <c r="Y1" s="151"/>
      <c r="Z1" s="152" t="s">
        <v>563</v>
      </c>
      <c r="AA1" s="150"/>
      <c r="AB1" s="150"/>
      <c r="AC1" s="150"/>
      <c r="AD1" s="153"/>
      <c r="AE1" s="152" t="s">
        <v>564</v>
      </c>
      <c r="AF1" s="150"/>
      <c r="AG1" s="150"/>
      <c r="AH1" s="150"/>
      <c r="AI1" s="153"/>
      <c r="AJ1" s="152" t="s">
        <v>765</v>
      </c>
      <c r="AK1" s="150"/>
      <c r="AL1" s="150"/>
      <c r="AM1" s="150"/>
      <c r="AN1" s="153"/>
      <c r="AO1" s="152" t="s">
        <v>765</v>
      </c>
      <c r="AP1" s="150"/>
      <c r="AQ1" s="150"/>
      <c r="AR1" s="150"/>
      <c r="AS1" s="153"/>
      <c r="AT1" s="344" t="s">
        <v>769</v>
      </c>
      <c r="AU1" s="215" t="s">
        <v>688</v>
      </c>
      <c r="AV1" s="216" t="s">
        <v>689</v>
      </c>
      <c r="AW1" s="215" t="s">
        <v>688</v>
      </c>
    </row>
    <row r="2" spans="1:50" s="237" customFormat="1" ht="15" customHeight="1">
      <c r="A2" s="343"/>
      <c r="B2" s="341"/>
      <c r="C2" s="341"/>
      <c r="D2" s="343"/>
      <c r="E2" s="343"/>
      <c r="F2" s="343"/>
      <c r="G2" s="351" t="s">
        <v>938</v>
      </c>
      <c r="H2" s="352"/>
      <c r="I2" s="352"/>
      <c r="J2" s="352"/>
      <c r="K2" s="353"/>
      <c r="L2" s="343"/>
      <c r="M2" s="343"/>
      <c r="N2" s="343"/>
      <c r="O2" s="343"/>
      <c r="P2" s="343"/>
      <c r="Q2" s="341" ph="1"/>
      <c r="R2" s="341" ph="1"/>
      <c r="S2" s="341" ph="1"/>
      <c r="T2" s="343"/>
      <c r="U2" s="154" t="s">
        <v>690</v>
      </c>
      <c r="V2" s="154" t="s">
        <v>691</v>
      </c>
      <c r="W2" s="154" t="s">
        <v>692</v>
      </c>
      <c r="X2" s="154" t="s">
        <v>693</v>
      </c>
      <c r="Y2" s="155" t="s">
        <v>694</v>
      </c>
      <c r="Z2" s="156" t="s">
        <v>690</v>
      </c>
      <c r="AA2" s="156" t="s">
        <v>691</v>
      </c>
      <c r="AB2" s="154" t="s">
        <v>692</v>
      </c>
      <c r="AC2" s="154" t="s">
        <v>693</v>
      </c>
      <c r="AD2" s="156" t="s">
        <v>695</v>
      </c>
      <c r="AE2" s="156" t="s">
        <v>690</v>
      </c>
      <c r="AF2" s="156" t="s">
        <v>691</v>
      </c>
      <c r="AG2" s="156" t="s">
        <v>692</v>
      </c>
      <c r="AH2" s="154" t="s">
        <v>693</v>
      </c>
      <c r="AI2" s="156" t="s">
        <v>695</v>
      </c>
      <c r="AJ2" s="156" t="s">
        <v>690</v>
      </c>
      <c r="AK2" s="156" t="s">
        <v>691</v>
      </c>
      <c r="AL2" s="156" t="s">
        <v>692</v>
      </c>
      <c r="AM2" s="154" t="s">
        <v>693</v>
      </c>
      <c r="AN2" s="156" t="s">
        <v>695</v>
      </c>
      <c r="AO2" s="156" t="s">
        <v>690</v>
      </c>
      <c r="AP2" s="156" t="s">
        <v>691</v>
      </c>
      <c r="AQ2" s="156" t="s">
        <v>692</v>
      </c>
      <c r="AR2" s="154" t="s">
        <v>693</v>
      </c>
      <c r="AS2" s="156" t="s">
        <v>695</v>
      </c>
      <c r="AT2" s="345"/>
      <c r="AU2" s="236"/>
      <c r="AV2" s="236"/>
      <c r="AW2" s="236"/>
    </row>
    <row r="3" spans="1:50">
      <c r="A3" s="265" t="s">
        <v>927</v>
      </c>
      <c r="B3" s="266"/>
      <c r="C3" s="143"/>
      <c r="D3" s="143"/>
      <c r="E3" s="143"/>
      <c r="F3" s="143"/>
      <c r="G3" s="285"/>
      <c r="H3" s="285"/>
      <c r="I3" s="285"/>
      <c r="J3" s="285"/>
      <c r="K3" s="285"/>
      <c r="L3" s="37"/>
      <c r="M3" s="37"/>
      <c r="N3" s="37"/>
      <c r="O3" s="37"/>
      <c r="P3" s="37"/>
      <c r="Q3" s="37"/>
      <c r="R3" s="37"/>
      <c r="S3" s="37"/>
      <c r="T3" s="36"/>
      <c r="U3" s="36"/>
      <c r="V3" s="35"/>
      <c r="W3" s="35"/>
      <c r="X3" s="35"/>
      <c r="Y3" s="142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255"/>
      <c r="AU3" s="234"/>
      <c r="AV3" s="234"/>
      <c r="AW3" s="234"/>
    </row>
    <row r="4" spans="1:50" s="43" customFormat="1" ht="12.75">
      <c r="A4" s="147" t="s">
        <v>673</v>
      </c>
      <c r="B4" s="61" t="s">
        <v>56</v>
      </c>
      <c r="C4" s="61" t="s">
        <v>56</v>
      </c>
      <c r="D4" s="61" t="s">
        <v>56</v>
      </c>
      <c r="E4" s="61" t="s">
        <v>49</v>
      </c>
      <c r="F4" s="147" t="s">
        <v>696</v>
      </c>
      <c r="G4" s="291" t="s">
        <v>939</v>
      </c>
      <c r="H4" s="292" t="s">
        <v>966</v>
      </c>
      <c r="I4" s="61" t="s">
        <v>939</v>
      </c>
      <c r="J4" s="286" t="s">
        <v>940</v>
      </c>
      <c r="K4" s="286" t="s">
        <v>940</v>
      </c>
      <c r="L4" s="61" t="s">
        <v>54</v>
      </c>
      <c r="M4" s="61" t="s">
        <v>697</v>
      </c>
      <c r="N4" s="61" t="s">
        <v>698</v>
      </c>
      <c r="O4" s="61" t="s">
        <v>99</v>
      </c>
      <c r="P4" s="61" t="s">
        <v>102</v>
      </c>
      <c r="Q4" s="61" t="s">
        <v>178</v>
      </c>
      <c r="R4" s="61" t="s">
        <v>713</v>
      </c>
      <c r="S4" s="61" t="s">
        <v>12</v>
      </c>
      <c r="T4" s="61" t="s">
        <v>699</v>
      </c>
      <c r="U4" s="61" t="str">
        <f t="shared" ref="U4:U10" si="0">LOWER(F4)</f>
        <v>clkin_sleep</v>
      </c>
      <c r="V4" s="61" t="s">
        <v>54</v>
      </c>
      <c r="W4" s="61" t="s">
        <v>714</v>
      </c>
      <c r="X4" s="61" t="s">
        <v>715</v>
      </c>
      <c r="Y4" s="162" t="s">
        <v>716</v>
      </c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219" t="s">
        <v>717</v>
      </c>
      <c r="AV4" s="272" t="s">
        <v>718</v>
      </c>
      <c r="AW4" s="219" t="s">
        <v>717</v>
      </c>
      <c r="AX4" s="238"/>
    </row>
    <row r="5" spans="1:50" s="61" customFormat="1">
      <c r="A5" s="147" t="s">
        <v>719</v>
      </c>
      <c r="B5" s="61" t="s">
        <v>56</v>
      </c>
      <c r="C5" s="61" t="s">
        <v>56</v>
      </c>
      <c r="D5" s="61" t="s">
        <v>56</v>
      </c>
      <c r="E5" s="61" t="s">
        <v>49</v>
      </c>
      <c r="F5" s="147" t="s">
        <v>720</v>
      </c>
      <c r="G5" s="291" t="s">
        <v>939</v>
      </c>
      <c r="H5" s="292" t="s">
        <v>966</v>
      </c>
      <c r="I5" s="61" t="s">
        <v>939</v>
      </c>
      <c r="J5" s="286" t="s">
        <v>940</v>
      </c>
      <c r="K5" s="286" t="s">
        <v>940</v>
      </c>
      <c r="L5" s="61" t="s">
        <v>54</v>
      </c>
      <c r="M5" s="61" t="s">
        <v>652</v>
      </c>
      <c r="N5" s="61" t="s">
        <v>721</v>
      </c>
      <c r="O5" s="61" t="s">
        <v>99</v>
      </c>
      <c r="P5" s="61" t="s">
        <v>102</v>
      </c>
      <c r="Q5" s="61" t="s">
        <v>78</v>
      </c>
      <c r="R5" s="61" t="s">
        <v>713</v>
      </c>
      <c r="S5" s="61" t="s">
        <v>700</v>
      </c>
      <c r="T5" s="61" t="s">
        <v>699</v>
      </c>
      <c r="U5" s="61" t="str">
        <f t="shared" si="0"/>
        <v>rstin_n</v>
      </c>
      <c r="V5" s="61" t="s">
        <v>54</v>
      </c>
      <c r="W5" s="61" t="s">
        <v>714</v>
      </c>
      <c r="X5" s="61" t="s">
        <v>652</v>
      </c>
      <c r="Y5" s="162" t="s">
        <v>722</v>
      </c>
      <c r="Z5" s="239"/>
      <c r="AU5" s="219" t="s">
        <v>717</v>
      </c>
      <c r="AV5" s="273"/>
      <c r="AW5" s="219" t="s">
        <v>717</v>
      </c>
      <c r="AX5" s="240"/>
    </row>
    <row r="6" spans="1:50" s="61" customFormat="1">
      <c r="A6" s="147" t="s">
        <v>719</v>
      </c>
      <c r="B6" s="61" t="s">
        <v>56</v>
      </c>
      <c r="C6" s="61" t="s">
        <v>56</v>
      </c>
      <c r="D6" s="61" t="s">
        <v>56</v>
      </c>
      <c r="E6" s="61" t="s">
        <v>49</v>
      </c>
      <c r="F6" s="147" t="s">
        <v>723</v>
      </c>
      <c r="G6" s="291" t="s">
        <v>939</v>
      </c>
      <c r="H6" s="43" t="s">
        <v>939</v>
      </c>
      <c r="I6" s="61" t="s">
        <v>939</v>
      </c>
      <c r="J6" s="286" t="s">
        <v>940</v>
      </c>
      <c r="K6" s="286" t="s">
        <v>940</v>
      </c>
      <c r="L6" s="61" t="s">
        <v>101</v>
      </c>
      <c r="M6" s="61" t="s">
        <v>652</v>
      </c>
      <c r="N6" s="61" t="s">
        <v>721</v>
      </c>
      <c r="O6" s="61" t="s">
        <v>99</v>
      </c>
      <c r="P6" s="61" t="s">
        <v>100</v>
      </c>
      <c r="Q6" s="61" t="s">
        <v>50</v>
      </c>
      <c r="R6" s="61" t="s">
        <v>724</v>
      </c>
      <c r="S6" s="61" t="s">
        <v>46</v>
      </c>
      <c r="T6" s="61" t="s">
        <v>701</v>
      </c>
      <c r="U6" s="61" t="str">
        <f t="shared" si="0"/>
        <v>rstout_n</v>
      </c>
      <c r="V6" s="61" t="s">
        <v>101</v>
      </c>
      <c r="W6" s="61" t="s">
        <v>714</v>
      </c>
      <c r="X6" s="61" t="s">
        <v>652</v>
      </c>
      <c r="Y6" s="162" t="s">
        <v>725</v>
      </c>
      <c r="Z6" s="239"/>
      <c r="AU6" s="219" t="s">
        <v>717</v>
      </c>
      <c r="AV6" s="273"/>
      <c r="AW6" s="219" t="s">
        <v>717</v>
      </c>
      <c r="AX6" s="240"/>
    </row>
    <row r="7" spans="1:50" s="61" customFormat="1" ht="12.75">
      <c r="A7" s="147" t="s">
        <v>719</v>
      </c>
      <c r="B7" s="61" t="s">
        <v>56</v>
      </c>
      <c r="C7" s="61" t="s">
        <v>56</v>
      </c>
      <c r="D7" s="61" t="s">
        <v>56</v>
      </c>
      <c r="E7" s="61" t="s">
        <v>48</v>
      </c>
      <c r="F7" s="147" t="s">
        <v>726</v>
      </c>
      <c r="G7" s="291" t="s">
        <v>939</v>
      </c>
      <c r="H7" s="43" t="s">
        <v>939</v>
      </c>
      <c r="I7" s="61" t="s">
        <v>939</v>
      </c>
      <c r="J7" s="286" t="s">
        <v>940</v>
      </c>
      <c r="K7" s="286" t="s">
        <v>940</v>
      </c>
      <c r="L7" s="61" t="s">
        <v>53</v>
      </c>
      <c r="M7" s="61" t="s">
        <v>727</v>
      </c>
      <c r="N7" s="61" t="s">
        <v>721</v>
      </c>
      <c r="O7" s="61" t="s">
        <v>99</v>
      </c>
      <c r="P7" s="61" t="s">
        <v>102</v>
      </c>
      <c r="Q7" s="61" t="s">
        <v>78</v>
      </c>
      <c r="R7" s="61" t="s">
        <v>640</v>
      </c>
      <c r="S7" s="61" t="s">
        <v>46</v>
      </c>
      <c r="T7" s="61" t="s">
        <v>701</v>
      </c>
      <c r="U7" s="61" t="str">
        <f t="shared" si="0"/>
        <v>pmu_irq_n</v>
      </c>
      <c r="V7" s="61" t="s">
        <v>53</v>
      </c>
      <c r="W7" s="61" t="s">
        <v>714</v>
      </c>
      <c r="X7" s="61" t="s">
        <v>652</v>
      </c>
      <c r="Y7" s="162" t="s">
        <v>728</v>
      </c>
      <c r="AU7" s="219" t="s">
        <v>717</v>
      </c>
      <c r="AV7" s="273"/>
      <c r="AW7" s="219" t="s">
        <v>717</v>
      </c>
      <c r="AX7" s="240"/>
    </row>
    <row r="8" spans="1:50" s="43" customFormat="1" ht="12.75">
      <c r="A8" s="147" t="s">
        <v>719</v>
      </c>
      <c r="B8" s="61" t="s">
        <v>56</v>
      </c>
      <c r="C8" s="61" t="s">
        <v>56</v>
      </c>
      <c r="D8" s="61" t="s">
        <v>56</v>
      </c>
      <c r="E8" s="147" t="s">
        <v>48</v>
      </c>
      <c r="F8" s="61" t="s">
        <v>729</v>
      </c>
      <c r="G8" s="291" t="s">
        <v>939</v>
      </c>
      <c r="H8" s="43" t="s">
        <v>939</v>
      </c>
      <c r="I8" s="61" t="s">
        <v>939</v>
      </c>
      <c r="J8" s="286" t="s">
        <v>940</v>
      </c>
      <c r="K8" s="286" t="s">
        <v>940</v>
      </c>
      <c r="L8" s="61" t="s">
        <v>51</v>
      </c>
      <c r="M8" s="61" t="s">
        <v>730</v>
      </c>
      <c r="N8" s="61" t="s">
        <v>721</v>
      </c>
      <c r="O8" s="61" t="s">
        <v>99</v>
      </c>
      <c r="P8" s="61" t="s">
        <v>100</v>
      </c>
      <c r="Q8" s="61" t="s">
        <v>183</v>
      </c>
      <c r="R8" s="61" t="s">
        <v>641</v>
      </c>
      <c r="S8" s="61" t="s">
        <v>46</v>
      </c>
      <c r="T8" s="61" t="s">
        <v>701</v>
      </c>
      <c r="U8" s="61" t="str">
        <f t="shared" si="0"/>
        <v>pmu_ssi</v>
      </c>
      <c r="V8" s="61" t="s">
        <v>51</v>
      </c>
      <c r="W8" s="61" t="s">
        <v>714</v>
      </c>
      <c r="X8" s="61" t="s">
        <v>654</v>
      </c>
      <c r="Y8" s="162"/>
      <c r="Z8" s="147"/>
      <c r="AA8" s="61"/>
      <c r="AB8" s="61"/>
      <c r="AC8" s="61"/>
      <c r="AD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219" t="s">
        <v>717</v>
      </c>
      <c r="AV8" s="273"/>
      <c r="AW8" s="219" t="s">
        <v>717</v>
      </c>
      <c r="AX8" s="238"/>
    </row>
    <row r="9" spans="1:50" s="43" customFormat="1" ht="12.75">
      <c r="A9" s="147" t="s">
        <v>719</v>
      </c>
      <c r="B9" s="61" t="s">
        <v>56</v>
      </c>
      <c r="C9" s="61" t="s">
        <v>56</v>
      </c>
      <c r="D9" s="61" t="s">
        <v>56</v>
      </c>
      <c r="E9" s="147" t="s">
        <v>48</v>
      </c>
      <c r="F9" s="61" t="s">
        <v>731</v>
      </c>
      <c r="G9" s="291" t="s">
        <v>939</v>
      </c>
      <c r="H9" s="43" t="s">
        <v>939</v>
      </c>
      <c r="I9" s="61" t="s">
        <v>939</v>
      </c>
      <c r="J9" s="286" t="s">
        <v>940</v>
      </c>
      <c r="K9" s="286" t="s">
        <v>940</v>
      </c>
      <c r="L9" s="61" t="s">
        <v>51</v>
      </c>
      <c r="M9" s="61" t="s">
        <v>730</v>
      </c>
      <c r="N9" s="61" t="s">
        <v>721</v>
      </c>
      <c r="O9" s="61" t="s">
        <v>99</v>
      </c>
      <c r="P9" s="61" t="s">
        <v>100</v>
      </c>
      <c r="Q9" s="61" t="s">
        <v>183</v>
      </c>
      <c r="R9" s="61" t="s">
        <v>642</v>
      </c>
      <c r="S9" s="61" t="s">
        <v>46</v>
      </c>
      <c r="T9" s="61" t="s">
        <v>701</v>
      </c>
      <c r="U9" s="61" t="str">
        <f t="shared" si="0"/>
        <v>pmu_hkadc_ssi</v>
      </c>
      <c r="V9" s="61" t="s">
        <v>51</v>
      </c>
      <c r="W9" s="61" t="s">
        <v>714</v>
      </c>
      <c r="X9" s="61" t="s">
        <v>654</v>
      </c>
      <c r="Y9" s="162"/>
      <c r="Z9" s="147"/>
      <c r="AA9" s="61"/>
      <c r="AB9" s="61"/>
      <c r="AC9" s="61"/>
      <c r="AD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219" t="s">
        <v>717</v>
      </c>
      <c r="AV9" s="273"/>
      <c r="AW9" s="219" t="s">
        <v>717</v>
      </c>
      <c r="AX9" s="238"/>
    </row>
    <row r="10" spans="1:50" s="43" customFormat="1" ht="12.75">
      <c r="A10" s="147" t="s">
        <v>719</v>
      </c>
      <c r="B10" s="61" t="s">
        <v>56</v>
      </c>
      <c r="C10" s="61" t="s">
        <v>56</v>
      </c>
      <c r="D10" s="61" t="s">
        <v>56</v>
      </c>
      <c r="E10" s="147" t="s">
        <v>48</v>
      </c>
      <c r="F10" s="61" t="s">
        <v>732</v>
      </c>
      <c r="G10" s="291" t="s">
        <v>939</v>
      </c>
      <c r="H10" s="43" t="s">
        <v>939</v>
      </c>
      <c r="I10" s="61" t="s">
        <v>939</v>
      </c>
      <c r="J10" s="286" t="s">
        <v>940</v>
      </c>
      <c r="K10" s="286" t="s">
        <v>940</v>
      </c>
      <c r="L10" s="61" t="s">
        <v>51</v>
      </c>
      <c r="M10" s="61" t="s">
        <v>730</v>
      </c>
      <c r="N10" s="61" t="s">
        <v>721</v>
      </c>
      <c r="O10" s="61" t="s">
        <v>99</v>
      </c>
      <c r="P10" s="61" t="s">
        <v>100</v>
      </c>
      <c r="Q10" s="214" t="s">
        <v>183</v>
      </c>
      <c r="R10" s="61" t="s">
        <v>643</v>
      </c>
      <c r="S10" s="61" t="s">
        <v>46</v>
      </c>
      <c r="T10" s="61" t="s">
        <v>701</v>
      </c>
      <c r="U10" s="61" t="str">
        <f t="shared" si="0"/>
        <v>pmu_auxdac0_ssi</v>
      </c>
      <c r="V10" s="61" t="s">
        <v>52</v>
      </c>
      <c r="W10" s="61" t="s">
        <v>714</v>
      </c>
      <c r="X10" s="61" t="s">
        <v>654</v>
      </c>
      <c r="Y10" s="162"/>
      <c r="Z10" s="147"/>
      <c r="AA10" s="147"/>
      <c r="AB10" s="147"/>
      <c r="AC10" s="147"/>
      <c r="AD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219" t="s">
        <v>717</v>
      </c>
      <c r="AV10" s="273"/>
      <c r="AW10" s="219" t="s">
        <v>717</v>
      </c>
      <c r="AX10" s="238"/>
    </row>
    <row r="11" spans="1:50" s="43" customFormat="1" ht="12.75">
      <c r="A11" s="147" t="s">
        <v>719</v>
      </c>
      <c r="B11" s="61" t="s">
        <v>56</v>
      </c>
      <c r="C11" s="61" t="s">
        <v>56</v>
      </c>
      <c r="D11" s="61" t="s">
        <v>56</v>
      </c>
      <c r="E11" s="61" t="s">
        <v>48</v>
      </c>
      <c r="F11" s="147" t="s">
        <v>733</v>
      </c>
      <c r="G11" s="291" t="s">
        <v>939</v>
      </c>
      <c r="H11" s="43" t="s">
        <v>939</v>
      </c>
      <c r="I11" s="61" t="s">
        <v>939</v>
      </c>
      <c r="J11" s="286" t="s">
        <v>940</v>
      </c>
      <c r="K11" s="286" t="s">
        <v>940</v>
      </c>
      <c r="L11" s="61" t="s">
        <v>51</v>
      </c>
      <c r="M11" s="61" t="s">
        <v>730</v>
      </c>
      <c r="N11" s="61" t="s">
        <v>721</v>
      </c>
      <c r="O11" s="61" t="s">
        <v>99</v>
      </c>
      <c r="P11" s="61" t="s">
        <v>100</v>
      </c>
      <c r="Q11" s="214" t="s">
        <v>181</v>
      </c>
      <c r="R11" s="61" t="s">
        <v>644</v>
      </c>
      <c r="S11" s="61" t="s">
        <v>46</v>
      </c>
      <c r="T11" s="61" t="s">
        <v>701</v>
      </c>
      <c r="U11" s="61" t="str">
        <f>LOWER(F11)</f>
        <v>ch0_tcxo_en</v>
      </c>
      <c r="V11" s="61" t="s">
        <v>52</v>
      </c>
      <c r="W11" s="61" t="s">
        <v>714</v>
      </c>
      <c r="X11" s="61" t="s">
        <v>652</v>
      </c>
      <c r="Y11" s="162" t="s">
        <v>734</v>
      </c>
      <c r="Z11" s="147"/>
      <c r="AA11" s="147"/>
      <c r="AB11" s="147"/>
      <c r="AC11" s="147"/>
      <c r="AD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219" t="s">
        <v>717</v>
      </c>
      <c r="AV11" s="273"/>
      <c r="AW11" s="219" t="s">
        <v>717</v>
      </c>
      <c r="AX11" s="238"/>
    </row>
    <row r="12" spans="1:50" s="43" customFormat="1" ht="48" customHeight="1">
      <c r="A12" s="147" t="s">
        <v>719</v>
      </c>
      <c r="B12" s="61" t="s">
        <v>56</v>
      </c>
      <c r="C12" s="61" t="s">
        <v>56</v>
      </c>
      <c r="D12" s="61" t="s">
        <v>56</v>
      </c>
      <c r="E12" s="61" t="s">
        <v>48</v>
      </c>
      <c r="F12" s="147" t="s">
        <v>735</v>
      </c>
      <c r="G12" s="291" t="s">
        <v>967</v>
      </c>
      <c r="H12" s="43" t="s">
        <v>939</v>
      </c>
      <c r="I12" s="61" t="s">
        <v>939</v>
      </c>
      <c r="J12" s="286" t="s">
        <v>940</v>
      </c>
      <c r="K12" s="286" t="s">
        <v>940</v>
      </c>
      <c r="L12" s="61" t="s">
        <v>51</v>
      </c>
      <c r="M12" s="61" t="s">
        <v>730</v>
      </c>
      <c r="N12" s="61" t="s">
        <v>721</v>
      </c>
      <c r="O12" s="61" t="s">
        <v>99</v>
      </c>
      <c r="P12" s="61" t="s">
        <v>100</v>
      </c>
      <c r="Q12" s="214" t="s">
        <v>181</v>
      </c>
      <c r="R12" s="61" t="s">
        <v>57</v>
      </c>
      <c r="S12" s="61" t="s">
        <v>46</v>
      </c>
      <c r="T12" s="61" t="s">
        <v>701</v>
      </c>
      <c r="U12" s="61" t="str">
        <f>LOWER(F12)</f>
        <v>peri_en</v>
      </c>
      <c r="V12" s="61" t="s">
        <v>52</v>
      </c>
      <c r="W12" s="61" t="s">
        <v>714</v>
      </c>
      <c r="X12" s="61" t="s">
        <v>652</v>
      </c>
      <c r="Y12" s="213" t="s">
        <v>736</v>
      </c>
      <c r="Z12" s="147"/>
      <c r="AA12" s="147"/>
      <c r="AB12" s="147"/>
      <c r="AC12" s="147"/>
      <c r="AD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219" t="s">
        <v>717</v>
      </c>
      <c r="AV12" s="273"/>
      <c r="AW12" s="219" t="s">
        <v>717</v>
      </c>
      <c r="AX12" s="238"/>
    </row>
    <row r="13" spans="1:50" s="43" customFormat="1" ht="12.75">
      <c r="A13" s="147" t="s">
        <v>719</v>
      </c>
      <c r="B13" s="61" t="s">
        <v>56</v>
      </c>
      <c r="C13" s="61" t="s">
        <v>56</v>
      </c>
      <c r="D13" s="61" t="s">
        <v>56</v>
      </c>
      <c r="E13" s="61" t="s">
        <v>48</v>
      </c>
      <c r="F13" s="61" t="s">
        <v>964</v>
      </c>
      <c r="G13" s="281" t="s">
        <v>963</v>
      </c>
      <c r="H13" s="43" t="s">
        <v>939</v>
      </c>
      <c r="I13" s="61" t="s">
        <v>939</v>
      </c>
      <c r="J13" s="286" t="s">
        <v>940</v>
      </c>
      <c r="K13" s="286" t="s">
        <v>940</v>
      </c>
      <c r="L13" s="61" t="s">
        <v>51</v>
      </c>
      <c r="M13" s="61" t="s">
        <v>730</v>
      </c>
      <c r="N13" s="61" t="s">
        <v>721</v>
      </c>
      <c r="O13" s="61" t="s">
        <v>99</v>
      </c>
      <c r="P13" s="61" t="s">
        <v>100</v>
      </c>
      <c r="Q13" s="214" t="s">
        <v>183</v>
      </c>
      <c r="R13" s="61" t="s">
        <v>772</v>
      </c>
      <c r="S13" s="61" t="s">
        <v>46</v>
      </c>
      <c r="T13" s="61" t="s">
        <v>701</v>
      </c>
      <c r="U13" s="61" t="str">
        <f>LOWER(F13)</f>
        <v>pmu_hold</v>
      </c>
      <c r="V13" s="61" t="s">
        <v>52</v>
      </c>
      <c r="W13" s="280" t="s">
        <v>931</v>
      </c>
      <c r="X13" s="61" t="s">
        <v>652</v>
      </c>
      <c r="Y13" s="162" t="s">
        <v>737</v>
      </c>
      <c r="Z13" s="280" t="s">
        <v>770</v>
      </c>
      <c r="AA13" s="280" t="s">
        <v>51</v>
      </c>
      <c r="AB13" s="280" t="s">
        <v>702</v>
      </c>
      <c r="AC13" s="280" t="s">
        <v>653</v>
      </c>
      <c r="AD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219" t="s">
        <v>717</v>
      </c>
      <c r="AV13" s="274"/>
      <c r="AW13" s="219" t="s">
        <v>717</v>
      </c>
      <c r="AX13" s="238"/>
    </row>
    <row r="14" spans="1:50">
      <c r="A14" s="187" t="s">
        <v>738</v>
      </c>
      <c r="B14" s="266"/>
      <c r="C14" s="143"/>
      <c r="D14" s="143"/>
      <c r="E14" s="143"/>
      <c r="F14" s="143"/>
      <c r="G14" s="278"/>
      <c r="H14" s="278"/>
      <c r="I14" s="278"/>
      <c r="J14" s="278"/>
      <c r="K14" s="278"/>
      <c r="L14" s="37"/>
      <c r="M14" s="37"/>
      <c r="N14" s="37"/>
      <c r="O14" s="37"/>
      <c r="P14" s="37"/>
      <c r="Q14" s="37"/>
      <c r="R14" s="37"/>
      <c r="S14" s="37"/>
      <c r="T14" s="35"/>
      <c r="U14" s="35"/>
      <c r="V14" s="35"/>
      <c r="W14" s="35"/>
      <c r="X14" s="35"/>
      <c r="Y14" s="142"/>
      <c r="Z14" s="35"/>
      <c r="AA14" s="35"/>
      <c r="AB14" s="35"/>
      <c r="AC14" s="37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256"/>
      <c r="AU14" s="234"/>
      <c r="AV14" s="234"/>
      <c r="AW14" s="234"/>
    </row>
    <row r="15" spans="1:50" s="177" customFormat="1" ht="12.75">
      <c r="A15" s="177" t="s">
        <v>719</v>
      </c>
      <c r="B15" s="177" t="s">
        <v>56</v>
      </c>
      <c r="C15" s="177" t="s">
        <v>56</v>
      </c>
      <c r="D15" s="177" t="s">
        <v>739</v>
      </c>
      <c r="E15" s="177" t="s">
        <v>740</v>
      </c>
      <c r="F15" s="177" t="s">
        <v>741</v>
      </c>
      <c r="G15" s="281" t="s">
        <v>963</v>
      </c>
      <c r="H15" s="43" t="s">
        <v>939</v>
      </c>
      <c r="I15" s="61" t="s">
        <v>939</v>
      </c>
      <c r="J15" s="286" t="s">
        <v>940</v>
      </c>
      <c r="K15" s="286" t="s">
        <v>940</v>
      </c>
      <c r="L15" s="147" t="s">
        <v>51</v>
      </c>
      <c r="M15" s="61" t="s">
        <v>730</v>
      </c>
      <c r="N15" s="177" t="s">
        <v>721</v>
      </c>
      <c r="O15" s="147" t="s">
        <v>99</v>
      </c>
      <c r="P15" s="61" t="s">
        <v>100</v>
      </c>
      <c r="Q15" s="242" t="s">
        <v>183</v>
      </c>
      <c r="R15" s="147" t="s">
        <v>773</v>
      </c>
      <c r="S15" s="177" t="s">
        <v>742</v>
      </c>
      <c r="T15" s="177" t="s">
        <v>701</v>
      </c>
      <c r="U15" s="177" t="s">
        <v>743</v>
      </c>
      <c r="V15" s="177" t="s">
        <v>527</v>
      </c>
      <c r="W15" s="61" t="s">
        <v>714</v>
      </c>
      <c r="X15" s="177" t="s">
        <v>744</v>
      </c>
      <c r="Y15" s="220" t="s">
        <v>745</v>
      </c>
      <c r="Z15" s="147"/>
      <c r="AT15" s="61"/>
      <c r="AU15" s="219" t="s">
        <v>717</v>
      </c>
      <c r="AV15" s="275" t="s">
        <v>718</v>
      </c>
      <c r="AW15" s="219" t="s">
        <v>717</v>
      </c>
    </row>
    <row r="16" spans="1:50" s="177" customFormat="1" ht="12.75">
      <c r="A16" s="177" t="s">
        <v>719</v>
      </c>
      <c r="B16" s="177" t="s">
        <v>56</v>
      </c>
      <c r="C16" s="177" t="s">
        <v>56</v>
      </c>
      <c r="D16" s="177" t="s">
        <v>739</v>
      </c>
      <c r="E16" s="177" t="s">
        <v>747</v>
      </c>
      <c r="F16" s="177" t="s">
        <v>748</v>
      </c>
      <c r="G16" s="281" t="s">
        <v>963</v>
      </c>
      <c r="H16" s="43" t="s">
        <v>939</v>
      </c>
      <c r="I16" s="61" t="s">
        <v>939</v>
      </c>
      <c r="J16" s="286" t="s">
        <v>940</v>
      </c>
      <c r="K16" s="286" t="s">
        <v>940</v>
      </c>
      <c r="L16" s="147" t="s">
        <v>51</v>
      </c>
      <c r="M16" s="61" t="s">
        <v>730</v>
      </c>
      <c r="N16" s="177" t="s">
        <v>721</v>
      </c>
      <c r="O16" s="147" t="s">
        <v>99</v>
      </c>
      <c r="P16" s="61" t="s">
        <v>100</v>
      </c>
      <c r="Q16" s="242" t="s">
        <v>183</v>
      </c>
      <c r="R16" s="147" t="s">
        <v>532</v>
      </c>
      <c r="S16" s="177" t="s">
        <v>742</v>
      </c>
      <c r="T16" s="177" t="s">
        <v>701</v>
      </c>
      <c r="U16" s="177" t="s">
        <v>749</v>
      </c>
      <c r="V16" s="177" t="s">
        <v>750</v>
      </c>
      <c r="W16" s="61" t="s">
        <v>714</v>
      </c>
      <c r="X16" s="177" t="s">
        <v>744</v>
      </c>
      <c r="Y16" s="220" t="s">
        <v>751</v>
      </c>
      <c r="Z16" s="147"/>
      <c r="AT16" s="61"/>
      <c r="AU16" s="219" t="s">
        <v>717</v>
      </c>
      <c r="AV16" s="276"/>
      <c r="AW16" s="219" t="s">
        <v>717</v>
      </c>
    </row>
    <row r="17" spans="1:122" s="177" customFormat="1" ht="12.75">
      <c r="A17" s="177" t="s">
        <v>719</v>
      </c>
      <c r="B17" s="177" t="s">
        <v>56</v>
      </c>
      <c r="C17" s="177" t="s">
        <v>56</v>
      </c>
      <c r="D17" s="177" t="s">
        <v>739</v>
      </c>
      <c r="E17" s="177" t="s">
        <v>747</v>
      </c>
      <c r="F17" s="177" t="s">
        <v>752</v>
      </c>
      <c r="G17" s="147" t="s">
        <v>963</v>
      </c>
      <c r="H17" s="43" t="s">
        <v>939</v>
      </c>
      <c r="I17" s="61" t="s">
        <v>939</v>
      </c>
      <c r="J17" s="286" t="s">
        <v>940</v>
      </c>
      <c r="K17" s="286" t="s">
        <v>940</v>
      </c>
      <c r="L17" s="147" t="s">
        <v>51</v>
      </c>
      <c r="M17" s="61" t="s">
        <v>730</v>
      </c>
      <c r="N17" s="177" t="s">
        <v>721</v>
      </c>
      <c r="O17" s="147" t="s">
        <v>99</v>
      </c>
      <c r="P17" s="61" t="s">
        <v>100</v>
      </c>
      <c r="Q17" s="277" t="s">
        <v>183</v>
      </c>
      <c r="R17" s="147" t="s">
        <v>774</v>
      </c>
      <c r="S17" s="177" t="s">
        <v>742</v>
      </c>
      <c r="T17" s="177" t="s">
        <v>701</v>
      </c>
      <c r="U17" s="177" t="s">
        <v>821</v>
      </c>
      <c r="V17" s="177" t="s">
        <v>51</v>
      </c>
      <c r="W17" s="61" t="s">
        <v>822</v>
      </c>
      <c r="X17" s="177" t="s">
        <v>744</v>
      </c>
      <c r="Y17" s="220" t="s">
        <v>753</v>
      </c>
      <c r="Z17" s="147"/>
      <c r="AE17" s="61" t="s">
        <v>798</v>
      </c>
      <c r="AF17" s="61" t="s">
        <v>52</v>
      </c>
      <c r="AG17" s="61" t="s">
        <v>820</v>
      </c>
      <c r="AT17" s="61"/>
      <c r="AU17" s="219" t="s">
        <v>717</v>
      </c>
      <c r="AW17" s="219" t="s">
        <v>717</v>
      </c>
    </row>
    <row r="18" spans="1:122" s="248" customFormat="1">
      <c r="A18" s="346" t="s">
        <v>754</v>
      </c>
      <c r="B18" s="347"/>
      <c r="C18" s="347"/>
      <c r="D18" s="347"/>
      <c r="E18" s="347"/>
      <c r="F18" s="347"/>
      <c r="G18" s="278"/>
      <c r="H18" s="278"/>
      <c r="I18" s="278"/>
      <c r="J18" s="278"/>
      <c r="K18" s="278"/>
      <c r="L18" s="243"/>
      <c r="M18" s="243"/>
      <c r="N18" s="243"/>
      <c r="O18" s="243"/>
      <c r="P18" s="243"/>
      <c r="Q18" s="244"/>
      <c r="R18" s="37"/>
      <c r="S18" s="37"/>
      <c r="T18" s="36"/>
      <c r="U18" s="37"/>
      <c r="V18" s="36"/>
      <c r="W18" s="36"/>
      <c r="X18" s="37"/>
      <c r="Y18" s="245"/>
      <c r="Z18" s="246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256"/>
      <c r="AU18" s="247"/>
      <c r="AV18" s="247"/>
      <c r="AW18" s="247"/>
    </row>
    <row r="19" spans="1:122" s="43" customFormat="1" ht="12.75">
      <c r="A19" s="147" t="s">
        <v>719</v>
      </c>
      <c r="B19" s="61" t="s">
        <v>739</v>
      </c>
      <c r="C19" s="61" t="s">
        <v>739</v>
      </c>
      <c r="D19" s="61" t="s">
        <v>739</v>
      </c>
      <c r="E19" s="178" t="s">
        <v>48</v>
      </c>
      <c r="F19" s="147" t="s">
        <v>755</v>
      </c>
      <c r="G19" s="147" t="s">
        <v>963</v>
      </c>
      <c r="H19" s="43" t="s">
        <v>965</v>
      </c>
      <c r="I19" s="61" t="s">
        <v>939</v>
      </c>
      <c r="J19" s="286" t="s">
        <v>940</v>
      </c>
      <c r="K19" s="286" t="s">
        <v>940</v>
      </c>
      <c r="L19" s="61" t="s">
        <v>51</v>
      </c>
      <c r="M19" s="61" t="s">
        <v>707</v>
      </c>
      <c r="N19" s="61" t="s">
        <v>721</v>
      </c>
      <c r="O19" s="61" t="s">
        <v>99</v>
      </c>
      <c r="P19" s="61" t="s">
        <v>100</v>
      </c>
      <c r="Q19" s="214" t="s">
        <v>181</v>
      </c>
      <c r="R19" s="147" t="s">
        <v>775</v>
      </c>
      <c r="S19" s="61" t="s">
        <v>46</v>
      </c>
      <c r="T19" s="177" t="s">
        <v>701</v>
      </c>
      <c r="U19" s="61" t="str">
        <f>LOWER(F19)</f>
        <v>uart0_txd</v>
      </c>
      <c r="V19" s="61" t="s">
        <v>52</v>
      </c>
      <c r="W19" s="61" t="s">
        <v>802</v>
      </c>
      <c r="X19" s="61" t="s">
        <v>756</v>
      </c>
      <c r="Y19" s="61" t="s">
        <v>757</v>
      </c>
      <c r="Z19" s="280"/>
      <c r="AA19" s="280"/>
      <c r="AB19" s="280"/>
      <c r="AC19" s="280"/>
      <c r="AD19" s="61"/>
      <c r="AE19" s="147" t="s">
        <v>792</v>
      </c>
      <c r="AF19" s="147" t="s">
        <v>52</v>
      </c>
      <c r="AG19" s="147" t="s">
        <v>808</v>
      </c>
      <c r="AH19" s="262"/>
      <c r="AI19" s="61"/>
      <c r="AM19" s="61"/>
      <c r="AN19" s="61"/>
      <c r="AO19" s="61"/>
      <c r="AP19" s="61"/>
      <c r="AQ19" s="61"/>
      <c r="AR19" s="61"/>
      <c r="AS19" s="61"/>
      <c r="AT19" s="61"/>
      <c r="AU19" s="219" t="s">
        <v>717</v>
      </c>
      <c r="AV19" s="272" t="s">
        <v>718</v>
      </c>
      <c r="AW19" s="219" t="s">
        <v>717</v>
      </c>
    </row>
    <row r="20" spans="1:122" s="43" customFormat="1" ht="12.75">
      <c r="A20" s="147" t="s">
        <v>719</v>
      </c>
      <c r="B20" s="61" t="s">
        <v>739</v>
      </c>
      <c r="C20" s="61" t="s">
        <v>739</v>
      </c>
      <c r="D20" s="61" t="s">
        <v>739</v>
      </c>
      <c r="E20" s="178" t="s">
        <v>48</v>
      </c>
      <c r="F20" s="147" t="s">
        <v>758</v>
      </c>
      <c r="G20" s="147" t="s">
        <v>963</v>
      </c>
      <c r="H20" s="43" t="s">
        <v>965</v>
      </c>
      <c r="I20" s="61" t="s">
        <v>939</v>
      </c>
      <c r="J20" s="286" t="s">
        <v>940</v>
      </c>
      <c r="K20" s="286" t="s">
        <v>940</v>
      </c>
      <c r="L20" s="61" t="s">
        <v>51</v>
      </c>
      <c r="M20" s="61" t="s">
        <v>707</v>
      </c>
      <c r="N20" s="61" t="s">
        <v>721</v>
      </c>
      <c r="O20" s="61" t="s">
        <v>99</v>
      </c>
      <c r="P20" s="61" t="s">
        <v>100</v>
      </c>
      <c r="Q20" s="61" t="s">
        <v>78</v>
      </c>
      <c r="R20" s="147" t="s">
        <v>58</v>
      </c>
      <c r="S20" s="61" t="s">
        <v>46</v>
      </c>
      <c r="T20" s="177" t="s">
        <v>701</v>
      </c>
      <c r="U20" s="61" t="str">
        <f>LOWER(F20)</f>
        <v>uart0_rxd</v>
      </c>
      <c r="V20" s="61" t="s">
        <v>53</v>
      </c>
      <c r="W20" s="61" t="s">
        <v>930</v>
      </c>
      <c r="X20" s="61" t="s">
        <v>756</v>
      </c>
      <c r="Y20" s="61" t="s">
        <v>759</v>
      </c>
      <c r="Z20" s="61" t="s">
        <v>800</v>
      </c>
      <c r="AA20" s="61" t="s">
        <v>51</v>
      </c>
      <c r="AB20" s="61" t="s">
        <v>807</v>
      </c>
      <c r="AC20" s="61" t="s">
        <v>653</v>
      </c>
      <c r="AD20" s="61"/>
      <c r="AE20" s="147" t="s">
        <v>793</v>
      </c>
      <c r="AF20" s="147" t="s">
        <v>52</v>
      </c>
      <c r="AG20" s="147" t="s">
        <v>809</v>
      </c>
      <c r="AH20" s="262"/>
      <c r="AI20" s="61"/>
      <c r="AM20" s="61"/>
      <c r="AN20" s="61"/>
      <c r="AO20" s="61"/>
      <c r="AP20" s="61"/>
      <c r="AQ20" s="61"/>
      <c r="AR20" s="61"/>
      <c r="AS20" s="61"/>
      <c r="AT20" s="61"/>
      <c r="AU20" s="219" t="s">
        <v>717</v>
      </c>
      <c r="AV20" s="274"/>
      <c r="AW20" s="219" t="s">
        <v>717</v>
      </c>
    </row>
    <row r="21" spans="1:122">
      <c r="A21" s="264" t="s">
        <v>823</v>
      </c>
      <c r="B21" s="266"/>
      <c r="C21" s="143"/>
      <c r="D21" s="143"/>
      <c r="E21" s="143"/>
      <c r="F21" s="143"/>
      <c r="G21" s="278"/>
      <c r="H21" s="278"/>
      <c r="I21" s="278"/>
      <c r="J21" s="278"/>
      <c r="K21" s="278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61"/>
      <c r="AF21" s="261"/>
      <c r="AG21" s="261"/>
      <c r="AH21" s="263"/>
      <c r="AI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</row>
    <row r="22" spans="1:122" s="43" customFormat="1" ht="12.75">
      <c r="A22" s="147" t="s">
        <v>519</v>
      </c>
      <c r="B22" s="61" t="s">
        <v>56</v>
      </c>
      <c r="C22" s="61" t="s">
        <v>56</v>
      </c>
      <c r="D22" s="61" t="s">
        <v>56</v>
      </c>
      <c r="E22" s="61" t="s">
        <v>48</v>
      </c>
      <c r="F22" s="147" t="s">
        <v>815</v>
      </c>
      <c r="G22" s="147" t="s">
        <v>963</v>
      </c>
      <c r="H22" s="43" t="s">
        <v>965</v>
      </c>
      <c r="I22" s="61" t="s">
        <v>939</v>
      </c>
      <c r="J22" s="286" t="s">
        <v>940</v>
      </c>
      <c r="K22" s="286" t="s">
        <v>940</v>
      </c>
      <c r="L22" s="145" t="s">
        <v>746</v>
      </c>
      <c r="M22" s="61" t="s">
        <v>653</v>
      </c>
      <c r="N22" s="61" t="s">
        <v>709</v>
      </c>
      <c r="O22" s="61" t="s">
        <v>99</v>
      </c>
      <c r="P22" s="61" t="s">
        <v>100</v>
      </c>
      <c r="Q22" s="61" t="s">
        <v>76</v>
      </c>
      <c r="R22" s="147" t="s">
        <v>799</v>
      </c>
      <c r="S22" s="61" t="s">
        <v>742</v>
      </c>
      <c r="T22" s="177" t="s">
        <v>701</v>
      </c>
      <c r="U22" s="61" t="s">
        <v>801</v>
      </c>
      <c r="V22" s="61" t="s">
        <v>746</v>
      </c>
      <c r="W22" s="61" t="s">
        <v>803</v>
      </c>
      <c r="X22" s="61" t="s">
        <v>653</v>
      </c>
      <c r="Y22" s="146"/>
      <c r="AD22" s="213"/>
      <c r="AE22" s="147" t="s">
        <v>794</v>
      </c>
      <c r="AF22" s="147" t="s">
        <v>52</v>
      </c>
      <c r="AG22" s="147" t="s">
        <v>810</v>
      </c>
      <c r="AH22" s="61"/>
      <c r="AI22" s="61"/>
      <c r="AM22" s="61"/>
      <c r="AN22" s="61"/>
      <c r="AS22" s="61"/>
      <c r="AT22" s="177"/>
      <c r="AU22" s="219" t="s">
        <v>717</v>
      </c>
      <c r="AV22" s="272" t="s">
        <v>718</v>
      </c>
      <c r="AW22" s="219" t="s">
        <v>717</v>
      </c>
    </row>
    <row r="23" spans="1:122" s="43" customFormat="1" ht="12.75">
      <c r="A23" s="147" t="s">
        <v>519</v>
      </c>
      <c r="B23" s="61" t="s">
        <v>56</v>
      </c>
      <c r="C23" s="61" t="s">
        <v>56</v>
      </c>
      <c r="D23" s="61" t="s">
        <v>56</v>
      </c>
      <c r="E23" s="61" t="s">
        <v>48</v>
      </c>
      <c r="F23" s="147" t="s">
        <v>816</v>
      </c>
      <c r="G23" s="147" t="s">
        <v>963</v>
      </c>
      <c r="H23" s="43" t="s">
        <v>965</v>
      </c>
      <c r="I23" s="61" t="s">
        <v>939</v>
      </c>
      <c r="J23" s="286" t="s">
        <v>940</v>
      </c>
      <c r="K23" s="286" t="s">
        <v>940</v>
      </c>
      <c r="L23" s="145" t="s">
        <v>746</v>
      </c>
      <c r="M23" s="61" t="s">
        <v>653</v>
      </c>
      <c r="N23" s="61" t="s">
        <v>709</v>
      </c>
      <c r="O23" s="61" t="s">
        <v>99</v>
      </c>
      <c r="P23" s="61" t="s">
        <v>100</v>
      </c>
      <c r="Q23" s="61" t="s">
        <v>76</v>
      </c>
      <c r="R23" s="147" t="s">
        <v>706</v>
      </c>
      <c r="S23" s="61" t="s">
        <v>742</v>
      </c>
      <c r="T23" s="177" t="s">
        <v>701</v>
      </c>
      <c r="U23" s="61" t="s">
        <v>703</v>
      </c>
      <c r="V23" s="61" t="s">
        <v>746</v>
      </c>
      <c r="W23" s="61" t="s">
        <v>804</v>
      </c>
      <c r="X23" s="61" t="s">
        <v>653</v>
      </c>
      <c r="Y23" s="146"/>
      <c r="AD23" s="210"/>
      <c r="AE23" s="147" t="s">
        <v>795</v>
      </c>
      <c r="AF23" s="147" t="s">
        <v>52</v>
      </c>
      <c r="AG23" s="147" t="s">
        <v>811</v>
      </c>
      <c r="AH23" s="61"/>
      <c r="AI23" s="61"/>
      <c r="AM23" s="61"/>
      <c r="AN23" s="61"/>
      <c r="AS23" s="61"/>
      <c r="AT23" s="177"/>
      <c r="AU23" s="219" t="s">
        <v>717</v>
      </c>
      <c r="AV23" s="273"/>
      <c r="AW23" s="219" t="s">
        <v>717</v>
      </c>
    </row>
    <row r="24" spans="1:122" s="43" customFormat="1" ht="12.75">
      <c r="A24" s="147" t="s">
        <v>519</v>
      </c>
      <c r="B24" s="61" t="s">
        <v>56</v>
      </c>
      <c r="C24" s="61" t="s">
        <v>56</v>
      </c>
      <c r="D24" s="61" t="s">
        <v>56</v>
      </c>
      <c r="E24" s="61" t="s">
        <v>747</v>
      </c>
      <c r="F24" s="147" t="s">
        <v>817</v>
      </c>
      <c r="G24" s="147" t="s">
        <v>963</v>
      </c>
      <c r="H24" s="43" t="s">
        <v>965</v>
      </c>
      <c r="I24" s="61" t="s">
        <v>939</v>
      </c>
      <c r="J24" s="286" t="s">
        <v>940</v>
      </c>
      <c r="K24" s="286" t="s">
        <v>940</v>
      </c>
      <c r="L24" s="145" t="s">
        <v>746</v>
      </c>
      <c r="M24" s="61" t="s">
        <v>653</v>
      </c>
      <c r="N24" s="61" t="s">
        <v>709</v>
      </c>
      <c r="O24" s="61" t="s">
        <v>99</v>
      </c>
      <c r="P24" s="61" t="s">
        <v>100</v>
      </c>
      <c r="Q24" s="61" t="s">
        <v>76</v>
      </c>
      <c r="R24" s="147" t="s">
        <v>521</v>
      </c>
      <c r="S24" s="61" t="s">
        <v>742</v>
      </c>
      <c r="T24" s="177" t="s">
        <v>701</v>
      </c>
      <c r="U24" s="61" t="s">
        <v>771</v>
      </c>
      <c r="V24" s="61" t="s">
        <v>746</v>
      </c>
      <c r="W24" s="61" t="s">
        <v>805</v>
      </c>
      <c r="X24" s="61" t="s">
        <v>653</v>
      </c>
      <c r="Y24" s="146"/>
      <c r="Z24" s="61" t="s">
        <v>814</v>
      </c>
      <c r="AA24" s="147" t="s">
        <v>55</v>
      </c>
      <c r="AB24" s="145" t="s">
        <v>819</v>
      </c>
      <c r="AC24" s="61" t="s">
        <v>760</v>
      </c>
      <c r="AD24" s="213" t="s">
        <v>710</v>
      </c>
      <c r="AE24" s="147" t="s">
        <v>796</v>
      </c>
      <c r="AF24" s="147" t="s">
        <v>52</v>
      </c>
      <c r="AG24" s="147" t="s">
        <v>812</v>
      </c>
      <c r="AH24" s="61"/>
      <c r="AI24" s="61"/>
      <c r="AM24" s="61"/>
      <c r="AN24" s="61"/>
      <c r="AO24" s="61"/>
      <c r="AP24" s="61"/>
      <c r="AQ24" s="61"/>
      <c r="AR24" s="61"/>
      <c r="AS24" s="61"/>
      <c r="AT24" s="177"/>
      <c r="AU24" s="219" t="s">
        <v>761</v>
      </c>
      <c r="AV24" s="273"/>
      <c r="AW24" s="219" t="s">
        <v>761</v>
      </c>
    </row>
    <row r="25" spans="1:122" s="241" customFormat="1" ht="12.75">
      <c r="A25" s="147" t="s">
        <v>519</v>
      </c>
      <c r="B25" s="61" t="s">
        <v>56</v>
      </c>
      <c r="C25" s="61" t="s">
        <v>56</v>
      </c>
      <c r="D25" s="61" t="s">
        <v>56</v>
      </c>
      <c r="E25" s="61" t="s">
        <v>48</v>
      </c>
      <c r="F25" s="147" t="s">
        <v>818</v>
      </c>
      <c r="G25" s="61" t="s">
        <v>963</v>
      </c>
      <c r="H25" s="43" t="s">
        <v>965</v>
      </c>
      <c r="I25" s="61" t="s">
        <v>939</v>
      </c>
      <c r="J25" s="286" t="s">
        <v>940</v>
      </c>
      <c r="K25" s="286" t="s">
        <v>940</v>
      </c>
      <c r="L25" s="145" t="s">
        <v>746</v>
      </c>
      <c r="M25" s="61" t="s">
        <v>653</v>
      </c>
      <c r="N25" s="61" t="s">
        <v>709</v>
      </c>
      <c r="O25" s="61" t="s">
        <v>99</v>
      </c>
      <c r="P25" s="61" t="s">
        <v>100</v>
      </c>
      <c r="Q25" s="61" t="s">
        <v>76</v>
      </c>
      <c r="R25" s="147" t="s">
        <v>776</v>
      </c>
      <c r="S25" s="61" t="s">
        <v>742</v>
      </c>
      <c r="T25" s="177" t="s">
        <v>701</v>
      </c>
      <c r="U25" s="61" t="s">
        <v>704</v>
      </c>
      <c r="V25" s="61" t="s">
        <v>746</v>
      </c>
      <c r="W25" s="61" t="s">
        <v>806</v>
      </c>
      <c r="X25" s="61" t="s">
        <v>653</v>
      </c>
      <c r="Y25" s="146"/>
      <c r="Z25" s="61"/>
      <c r="AA25" s="147"/>
      <c r="AB25" s="145"/>
      <c r="AC25" s="61"/>
      <c r="AD25" s="213"/>
      <c r="AE25" s="61" t="s">
        <v>797</v>
      </c>
      <c r="AF25" s="61" t="s">
        <v>52</v>
      </c>
      <c r="AG25" s="61" t="s">
        <v>813</v>
      </c>
      <c r="AH25" s="61"/>
      <c r="AI25" s="61"/>
      <c r="AM25" s="61"/>
      <c r="AN25" s="61"/>
      <c r="AO25" s="61"/>
      <c r="AP25" s="61"/>
      <c r="AQ25" s="61"/>
      <c r="AR25" s="61"/>
      <c r="AS25" s="61"/>
      <c r="AT25" s="177"/>
      <c r="AU25" s="219"/>
      <c r="AV25" s="253"/>
      <c r="AW25" s="219"/>
      <c r="AX25" s="43"/>
      <c r="AY25" s="43"/>
      <c r="AZ25" s="43"/>
      <c r="BA25" s="43"/>
      <c r="BB25" s="43"/>
      <c r="BC25" s="43"/>
      <c r="BD25" s="43"/>
      <c r="BE25" s="43"/>
    </row>
    <row r="26" spans="1:122">
      <c r="A26" s="187" t="s">
        <v>762</v>
      </c>
      <c r="B26" s="266"/>
      <c r="C26" s="143"/>
      <c r="D26" s="143"/>
      <c r="E26" s="143"/>
      <c r="F26" s="143"/>
      <c r="G26" s="278"/>
      <c r="H26" s="278"/>
      <c r="I26" s="278"/>
      <c r="J26" s="278"/>
      <c r="K26" s="278"/>
      <c r="L26" s="37"/>
      <c r="M26" s="37"/>
      <c r="N26" s="37"/>
      <c r="O26" s="37"/>
      <c r="P26" s="37"/>
      <c r="Q26" s="37"/>
      <c r="R26" s="37"/>
      <c r="S26" s="37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256"/>
    </row>
    <row r="27" spans="1:122" s="43" customFormat="1" ht="12.75">
      <c r="A27" s="147" t="s">
        <v>719</v>
      </c>
      <c r="B27" s="61" t="s">
        <v>56</v>
      </c>
      <c r="C27" s="61" t="s">
        <v>56</v>
      </c>
      <c r="D27" s="61" t="s">
        <v>56</v>
      </c>
      <c r="E27" s="61" t="s">
        <v>48</v>
      </c>
      <c r="F27" s="61" t="s">
        <v>763</v>
      </c>
      <c r="G27" s="292" t="s">
        <v>969</v>
      </c>
      <c r="H27" s="292" t="s">
        <v>939</v>
      </c>
      <c r="I27" s="61" t="s">
        <v>939</v>
      </c>
      <c r="J27" s="286" t="s">
        <v>940</v>
      </c>
      <c r="K27" s="286" t="s">
        <v>940</v>
      </c>
      <c r="L27" s="61" t="s">
        <v>53</v>
      </c>
      <c r="M27" s="61" t="s">
        <v>756</v>
      </c>
      <c r="N27" s="61" t="s">
        <v>721</v>
      </c>
      <c r="O27" s="61" t="s">
        <v>99</v>
      </c>
      <c r="P27" s="61" t="s">
        <v>102</v>
      </c>
      <c r="Q27" s="61" t="s">
        <v>76</v>
      </c>
      <c r="R27" s="61" t="s">
        <v>713</v>
      </c>
      <c r="S27" s="61" t="s">
        <v>12</v>
      </c>
      <c r="T27" s="61" t="s">
        <v>701</v>
      </c>
      <c r="U27" s="61" t="str">
        <f>LOWER(F27)</f>
        <v>jtag_dft_mode</v>
      </c>
      <c r="V27" s="61" t="s">
        <v>53</v>
      </c>
      <c r="W27" s="61" t="s">
        <v>714</v>
      </c>
      <c r="X27" s="61" t="s">
        <v>756</v>
      </c>
      <c r="Y27" s="146" t="s">
        <v>764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147"/>
      <c r="DP27" s="249" t="s">
        <v>708</v>
      </c>
      <c r="DR27" s="249" t="s">
        <v>705</v>
      </c>
    </row>
    <row r="28" spans="1:122" s="254" customFormat="1" ht="15">
      <c r="A28" s="346" t="s">
        <v>968</v>
      </c>
      <c r="B28" s="347"/>
      <c r="C28" s="348"/>
      <c r="D28" s="347"/>
      <c r="E28" s="347"/>
      <c r="F28" s="347"/>
      <c r="G28" s="347"/>
      <c r="H28" s="347"/>
      <c r="I28" s="347"/>
      <c r="J28" s="347"/>
      <c r="K28" s="347"/>
      <c r="L28" s="348"/>
      <c r="M28" s="349"/>
      <c r="N28" s="35"/>
      <c r="O28" s="258"/>
      <c r="P28" s="14"/>
      <c r="Q28" s="37"/>
      <c r="R28" s="37"/>
      <c r="S28" s="36"/>
      <c r="T28" s="36"/>
      <c r="U28" s="36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259"/>
    </row>
    <row r="29" spans="1:122" s="260" customFormat="1" ht="12.75">
      <c r="A29" s="260" t="s">
        <v>777</v>
      </c>
      <c r="B29" s="260" t="s">
        <v>739</v>
      </c>
      <c r="C29" s="260" t="s">
        <v>739</v>
      </c>
      <c r="D29" s="260" t="s">
        <v>739</v>
      </c>
      <c r="E29" s="260" t="s">
        <v>778</v>
      </c>
      <c r="F29" s="260" t="s">
        <v>779</v>
      </c>
      <c r="G29" s="293" t="s">
        <v>969</v>
      </c>
      <c r="H29" s="294" t="s">
        <v>939</v>
      </c>
      <c r="I29" s="294" t="s">
        <v>939</v>
      </c>
      <c r="J29" s="294" t="s">
        <v>939</v>
      </c>
      <c r="K29" s="294" t="s">
        <v>939</v>
      </c>
      <c r="L29" s="260" t="s">
        <v>97</v>
      </c>
      <c r="M29" s="260" t="s">
        <v>766</v>
      </c>
      <c r="N29" s="260" t="s">
        <v>767</v>
      </c>
      <c r="O29" s="260" t="s">
        <v>780</v>
      </c>
      <c r="Q29" s="260" t="s">
        <v>12</v>
      </c>
      <c r="R29" s="260" t="s">
        <v>768</v>
      </c>
      <c r="T29" s="260" t="s">
        <v>781</v>
      </c>
      <c r="U29" s="260" t="str">
        <f t="shared" ref="U29:U33" si="1">LOWER(F29)</f>
        <v>usb20_vbus</v>
      </c>
      <c r="V29" s="260" t="s">
        <v>97</v>
      </c>
      <c r="W29" s="260" t="s">
        <v>714</v>
      </c>
      <c r="X29" s="260" t="s">
        <v>766</v>
      </c>
      <c r="Y29" s="260" t="s">
        <v>782</v>
      </c>
      <c r="CA29" s="260">
        <v>1</v>
      </c>
    </row>
    <row r="30" spans="1:122" s="260" customFormat="1" ht="12.75">
      <c r="A30" s="260" t="s">
        <v>170</v>
      </c>
      <c r="B30" s="260" t="s">
        <v>739</v>
      </c>
      <c r="C30" s="260" t="s">
        <v>739</v>
      </c>
      <c r="D30" s="260" t="s">
        <v>739</v>
      </c>
      <c r="E30" s="260" t="s">
        <v>778</v>
      </c>
      <c r="F30" s="260" t="s">
        <v>783</v>
      </c>
      <c r="G30" s="293" t="s">
        <v>969</v>
      </c>
      <c r="H30" s="294" t="s">
        <v>939</v>
      </c>
      <c r="I30" s="294" t="s">
        <v>939</v>
      </c>
      <c r="J30" s="294" t="s">
        <v>939</v>
      </c>
      <c r="K30" s="294" t="s">
        <v>939</v>
      </c>
      <c r="L30" s="260" t="s">
        <v>96</v>
      </c>
      <c r="M30" s="260" t="s">
        <v>766</v>
      </c>
      <c r="N30" s="260" t="s">
        <v>767</v>
      </c>
      <c r="O30" s="260" t="s">
        <v>780</v>
      </c>
      <c r="Q30" s="260" t="s">
        <v>12</v>
      </c>
      <c r="R30" s="260" t="s">
        <v>768</v>
      </c>
      <c r="T30" s="260" t="s">
        <v>781</v>
      </c>
      <c r="U30" s="260" t="str">
        <f t="shared" si="1"/>
        <v>usb20_id</v>
      </c>
      <c r="V30" s="260" t="s">
        <v>96</v>
      </c>
      <c r="W30" s="260" t="s">
        <v>714</v>
      </c>
      <c r="X30" s="260" t="s">
        <v>766</v>
      </c>
      <c r="Y30" s="260" t="s">
        <v>784</v>
      </c>
      <c r="CA30" s="260">
        <v>1</v>
      </c>
    </row>
    <row r="31" spans="1:122" s="260" customFormat="1" ht="12.75">
      <c r="A31" s="260" t="s">
        <v>785</v>
      </c>
      <c r="B31" s="260" t="s">
        <v>739</v>
      </c>
      <c r="C31" s="260" t="s">
        <v>739</v>
      </c>
      <c r="D31" s="260" t="s">
        <v>739</v>
      </c>
      <c r="E31" s="260" t="s">
        <v>778</v>
      </c>
      <c r="F31" s="260" t="s">
        <v>786</v>
      </c>
      <c r="G31" s="293" t="s">
        <v>969</v>
      </c>
      <c r="H31" s="294" t="s">
        <v>939</v>
      </c>
      <c r="I31" s="294" t="s">
        <v>939</v>
      </c>
      <c r="J31" s="294" t="s">
        <v>939</v>
      </c>
      <c r="K31" s="294" t="s">
        <v>939</v>
      </c>
      <c r="L31" s="260" t="s">
        <v>97</v>
      </c>
      <c r="M31" s="260" t="s">
        <v>766</v>
      </c>
      <c r="N31" s="260" t="s">
        <v>767</v>
      </c>
      <c r="O31" s="260" t="s">
        <v>780</v>
      </c>
      <c r="Q31" s="260" t="s">
        <v>12</v>
      </c>
      <c r="R31" s="260" t="s">
        <v>768</v>
      </c>
      <c r="T31" s="260" t="s">
        <v>781</v>
      </c>
      <c r="U31" s="260" t="str">
        <f t="shared" si="1"/>
        <v>usb20_dp</v>
      </c>
      <c r="V31" s="260" t="s">
        <v>97</v>
      </c>
      <c r="W31" s="260" t="s">
        <v>714</v>
      </c>
      <c r="X31" s="260" t="s">
        <v>766</v>
      </c>
      <c r="Y31" s="260" t="s">
        <v>787</v>
      </c>
      <c r="CA31" s="260">
        <v>1</v>
      </c>
    </row>
    <row r="32" spans="1:122" s="260" customFormat="1" ht="12.75">
      <c r="A32" s="260" t="s">
        <v>785</v>
      </c>
      <c r="B32" s="260" t="s">
        <v>739</v>
      </c>
      <c r="C32" s="260" t="s">
        <v>739</v>
      </c>
      <c r="D32" s="260" t="s">
        <v>739</v>
      </c>
      <c r="E32" s="260" t="s">
        <v>778</v>
      </c>
      <c r="F32" s="260" t="s">
        <v>788</v>
      </c>
      <c r="G32" s="293" t="s">
        <v>969</v>
      </c>
      <c r="H32" s="294" t="s">
        <v>939</v>
      </c>
      <c r="I32" s="294" t="s">
        <v>939</v>
      </c>
      <c r="J32" s="294" t="s">
        <v>939</v>
      </c>
      <c r="K32" s="294" t="s">
        <v>939</v>
      </c>
      <c r="L32" s="260" t="s">
        <v>97</v>
      </c>
      <c r="M32" s="260" t="s">
        <v>766</v>
      </c>
      <c r="N32" s="260" t="s">
        <v>767</v>
      </c>
      <c r="O32" s="260" t="s">
        <v>780</v>
      </c>
      <c r="Q32" s="260" t="s">
        <v>12</v>
      </c>
      <c r="R32" s="260" t="s">
        <v>768</v>
      </c>
      <c r="T32" s="260" t="s">
        <v>781</v>
      </c>
      <c r="U32" s="260" t="str">
        <f t="shared" si="1"/>
        <v>usb20_dm</v>
      </c>
      <c r="V32" s="260" t="s">
        <v>97</v>
      </c>
      <c r="W32" s="260" t="s">
        <v>714</v>
      </c>
      <c r="X32" s="260" t="s">
        <v>766</v>
      </c>
      <c r="Y32" s="260" t="s">
        <v>789</v>
      </c>
      <c r="CA32" s="260">
        <v>1</v>
      </c>
    </row>
    <row r="33" spans="1:79" s="260" customFormat="1" ht="12.75">
      <c r="A33" s="260" t="s">
        <v>170</v>
      </c>
      <c r="B33" s="260" t="s">
        <v>739</v>
      </c>
      <c r="C33" s="260" t="s">
        <v>739</v>
      </c>
      <c r="D33" s="260" t="s">
        <v>739</v>
      </c>
      <c r="E33" s="260" t="s">
        <v>778</v>
      </c>
      <c r="F33" s="260" t="s">
        <v>790</v>
      </c>
      <c r="G33" s="293" t="s">
        <v>969</v>
      </c>
      <c r="H33" s="294" t="s">
        <v>939</v>
      </c>
      <c r="I33" s="294" t="s">
        <v>939</v>
      </c>
      <c r="J33" s="294" t="s">
        <v>939</v>
      </c>
      <c r="K33" s="294" t="s">
        <v>939</v>
      </c>
      <c r="L33" s="260" t="s">
        <v>96</v>
      </c>
      <c r="M33" s="260" t="s">
        <v>766</v>
      </c>
      <c r="N33" s="260" t="s">
        <v>767</v>
      </c>
      <c r="O33" s="260" t="s">
        <v>780</v>
      </c>
      <c r="Q33" s="260" t="s">
        <v>12</v>
      </c>
      <c r="R33" s="260" t="s">
        <v>768</v>
      </c>
      <c r="T33" s="260" t="s">
        <v>781</v>
      </c>
      <c r="U33" s="260" t="str">
        <f t="shared" si="1"/>
        <v>usb20_txrtune</v>
      </c>
      <c r="V33" s="260" t="s">
        <v>96</v>
      </c>
      <c r="W33" s="260" t="s">
        <v>714</v>
      </c>
      <c r="X33" s="260" t="s">
        <v>766</v>
      </c>
      <c r="Y33" s="260" t="s">
        <v>791</v>
      </c>
      <c r="CA33" s="260">
        <v>1</v>
      </c>
    </row>
    <row r="37" spans="1:79">
      <c r="C37" s="234"/>
      <c r="D37" s="234"/>
      <c r="AT37" s="257"/>
    </row>
    <row r="38" spans="1:79">
      <c r="B38" s="269" t="s">
        <v>827</v>
      </c>
      <c r="C38" s="234" t="s">
        <v>711</v>
      </c>
      <c r="D38" s="269" t="s">
        <v>828</v>
      </c>
      <c r="AT38" s="257"/>
    </row>
    <row r="39" spans="1:79">
      <c r="A39" s="236" t="s">
        <v>712</v>
      </c>
      <c r="B39" s="250">
        <f>COUNTIF(B1:B37,"Y")</f>
        <v>25</v>
      </c>
      <c r="C39" s="250">
        <f>COUNTIF(C1:C37,"Y")</f>
        <v>25</v>
      </c>
      <c r="D39" s="250">
        <f>COUNTIF(D1:D37,"Y")</f>
        <v>25</v>
      </c>
      <c r="E39" s="250">
        <f>COUNTIF(E1:E37,"MUX_C")+COUNTIF(E1:E37,"MUX_D")</f>
        <v>17</v>
      </c>
      <c r="M39" s="234"/>
      <c r="R39" s="233"/>
      <c r="T39" s="235"/>
      <c r="Y39" s="235"/>
      <c r="AC39" s="251"/>
      <c r="AD39" s="251"/>
      <c r="AE39" s="251"/>
      <c r="AF39" s="251"/>
      <c r="AG39" s="251"/>
      <c r="AH39" s="252"/>
      <c r="AI39" s="252"/>
      <c r="AJ39" s="252"/>
      <c r="AK39" s="252"/>
      <c r="AL39" s="252"/>
      <c r="AM39" s="257"/>
      <c r="AN39" s="235"/>
      <c r="AO39" s="235"/>
      <c r="AP39" s="235"/>
      <c r="AQ39" s="235"/>
      <c r="AR39" s="235"/>
      <c r="AS39" s="235"/>
    </row>
    <row r="40" spans="1:79">
      <c r="A40" s="269" t="s">
        <v>829</v>
      </c>
      <c r="B40" s="271">
        <f>COUNTIF(N1:N35,"HISI4D")</f>
        <v>20</v>
      </c>
      <c r="C40" s="271">
        <f>COUNTIF(N1:N35,"HISI4D")</f>
        <v>20</v>
      </c>
      <c r="M40" s="234"/>
      <c r="R40" s="233"/>
      <c r="T40" s="235"/>
      <c r="Y40" s="235"/>
      <c r="AC40" s="251"/>
      <c r="AD40" s="251"/>
      <c r="AE40" s="251"/>
      <c r="AF40" s="251"/>
      <c r="AG40" s="251"/>
      <c r="AH40" s="252"/>
      <c r="AI40" s="252"/>
      <c r="AJ40" s="252"/>
      <c r="AK40" s="252"/>
      <c r="AL40" s="252"/>
      <c r="AM40" s="257"/>
      <c r="AN40" s="235"/>
      <c r="AO40" s="235"/>
      <c r="AP40" s="235"/>
      <c r="AQ40" s="235"/>
      <c r="AR40" s="235"/>
      <c r="AS40" s="235"/>
    </row>
    <row r="41" spans="1:79">
      <c r="A41" s="269" t="s">
        <v>830</v>
      </c>
      <c r="B41" s="270">
        <f>B39-B40</f>
        <v>5</v>
      </c>
      <c r="C41" s="270">
        <f>C39-C40</f>
        <v>5</v>
      </c>
      <c r="M41" s="234"/>
      <c r="R41" s="233"/>
      <c r="T41" s="235"/>
      <c r="Y41" s="235"/>
      <c r="AC41" s="251"/>
      <c r="AD41" s="251"/>
      <c r="AE41" s="251"/>
      <c r="AF41" s="251"/>
      <c r="AG41" s="251"/>
      <c r="AH41" s="252"/>
      <c r="AI41" s="252"/>
      <c r="AJ41" s="252"/>
      <c r="AK41" s="252"/>
      <c r="AL41" s="252"/>
      <c r="AM41" s="257"/>
      <c r="AN41" s="235"/>
      <c r="AO41" s="235"/>
      <c r="AP41" s="235"/>
      <c r="AQ41" s="235"/>
      <c r="AR41" s="235"/>
      <c r="AS41" s="235"/>
    </row>
    <row r="42" spans="1:79">
      <c r="M42" s="234"/>
      <c r="R42" s="233"/>
      <c r="T42" s="235"/>
      <c r="Y42" s="235"/>
      <c r="AC42" s="251"/>
      <c r="AD42" s="251"/>
      <c r="AE42" s="251"/>
      <c r="AF42" s="251"/>
      <c r="AG42" s="251"/>
      <c r="AH42" s="252"/>
      <c r="AI42" s="252"/>
      <c r="AJ42" s="252"/>
      <c r="AK42" s="252"/>
      <c r="AL42" s="252"/>
      <c r="AM42" s="257"/>
      <c r="AN42" s="235"/>
      <c r="AO42" s="235"/>
      <c r="AP42" s="235"/>
      <c r="AQ42" s="235"/>
      <c r="AR42" s="235"/>
      <c r="AS42" s="235"/>
    </row>
    <row r="43" spans="1:79">
      <c r="AT43" s="257"/>
    </row>
    <row r="44" spans="1:79">
      <c r="AT44" s="257"/>
    </row>
    <row r="45" spans="1:79">
      <c r="AT45" s="257"/>
    </row>
    <row r="46" spans="1:79">
      <c r="AT46" s="257"/>
    </row>
    <row r="57" collapsed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</sheetData>
  <mergeCells count="19">
    <mergeCell ref="A18:F18"/>
    <mergeCell ref="A28:M28"/>
    <mergeCell ref="A1:A2"/>
    <mergeCell ref="N1:N2"/>
    <mergeCell ref="M1:M2"/>
    <mergeCell ref="L1:L2"/>
    <mergeCell ref="C1:C2"/>
    <mergeCell ref="B1:B2"/>
    <mergeCell ref="G2:K2"/>
    <mergeCell ref="P1:P2"/>
    <mergeCell ref="O1:O2"/>
    <mergeCell ref="E1:E2"/>
    <mergeCell ref="F1:F2"/>
    <mergeCell ref="D1:D2"/>
    <mergeCell ref="Q1:Q2"/>
    <mergeCell ref="S1:S2"/>
    <mergeCell ref="R1:R2"/>
    <mergeCell ref="T1:T2"/>
    <mergeCell ref="AT1:AT2"/>
  </mergeCells>
  <phoneticPr fontId="3" type="noConversion"/>
  <dataValidations count="31">
    <dataValidation type="list" allowBlank="1" showDropDown="1" showInputMessage="1" showErrorMessage="1" sqref="G29:G33">
      <formula1>_a21</formula1>
    </dataValidation>
    <dataValidation type="list" allowBlank="1" showDropDown="1" showInputMessage="1" showErrorMessage="1" sqref="G27">
      <formula1>_a20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3">
      <formula1>_a10</formula1>
    </dataValidation>
    <dataValidation type="list" allowBlank="1" showDropDown="1" showInputMessage="1" showErrorMessage="1" sqref="G4:G12">
      <formula1>_a1</formula1>
    </dataValidation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E44:E1048576 E27 E29:E33 E22:E25 E19:E20 E15:E17 E4:E13">
      <formula1>"MUX_NA,MUX_D,MUX_C"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J4:K13 J15:K17 J19:K20 J22:K25 J27:K27">
      <formula1>"Yes,No"</formula1>
    </dataValidation>
    <dataValidation type="list" allowBlank="1" showInputMessage="1" showErrorMessage="1" sqref="H6:H13 H15:H17 H19:H20 H22:H25">
      <formula1>"default,pull-up,pull-down,no-pull"</formula1>
    </dataValidation>
    <dataValidation type="list" allowBlank="1" showInputMessage="1" showErrorMessage="1" sqref="I4:I13 I15:I17 I19:I20 I22:I25 I27">
      <formula1>"default,0mA,4mA,8mA,12mA,16mA"</formula1>
    </dataValidation>
    <dataValidation type="list" allowBlank="1" showDropDown="1" showInputMessage="1" showErrorMessage="1" sqref="H4:H5 H27 H29:H33">
      <formula1>"default,pull-up,pull-down,no-pull"</formula1>
    </dataValidation>
    <dataValidation type="list" allowBlank="1" showDropDown="1" showInputMessage="1" showErrorMessage="1" sqref="I29:K33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48" bestFit="1" customWidth="1"/>
    <col min="2" max="3" width="12.75" style="148" bestFit="1" customWidth="1"/>
    <col min="4" max="5" width="15" style="148" bestFit="1" customWidth="1"/>
    <col min="6" max="8" width="9" style="148"/>
    <col min="9" max="10" width="10.5" style="148" bestFit="1" customWidth="1"/>
    <col min="11" max="16384" width="9" style="148"/>
  </cols>
  <sheetData>
    <row r="1" spans="1:10">
      <c r="A1" s="144" t="s">
        <v>483</v>
      </c>
      <c r="B1" s="144" t="s">
        <v>486</v>
      </c>
      <c r="C1" s="144" t="s">
        <v>487</v>
      </c>
      <c r="D1" s="144" t="s">
        <v>488</v>
      </c>
      <c r="E1" s="144" t="s">
        <v>489</v>
      </c>
      <c r="F1" s="148">
        <v>1.8</v>
      </c>
    </row>
    <row r="2" spans="1:10">
      <c r="A2" s="144" t="s">
        <v>484</v>
      </c>
      <c r="B2" s="144" t="s">
        <v>490</v>
      </c>
      <c r="C2" s="144" t="s">
        <v>477</v>
      </c>
      <c r="D2" s="144" t="s">
        <v>478</v>
      </c>
      <c r="E2" s="144" t="s">
        <v>479</v>
      </c>
      <c r="F2" s="148">
        <v>1.8</v>
      </c>
    </row>
    <row r="3" spans="1:10">
      <c r="A3" s="144" t="s">
        <v>485</v>
      </c>
      <c r="B3" s="144" t="s">
        <v>491</v>
      </c>
      <c r="C3" s="144" t="s">
        <v>480</v>
      </c>
      <c r="D3" s="144" t="s">
        <v>481</v>
      </c>
      <c r="E3" s="144" t="s">
        <v>482</v>
      </c>
      <c r="F3" s="148">
        <v>1.8</v>
      </c>
    </row>
    <row r="4" spans="1:10">
      <c r="A4" s="144" t="s">
        <v>526</v>
      </c>
      <c r="B4" s="144" t="s">
        <v>528</v>
      </c>
      <c r="C4" s="144" t="s">
        <v>529</v>
      </c>
      <c r="D4" s="144" t="s">
        <v>530</v>
      </c>
      <c r="E4" s="144" t="s">
        <v>531</v>
      </c>
      <c r="F4" s="148">
        <v>1.8</v>
      </c>
    </row>
    <row r="5" spans="1:10" ht="13.5" customHeight="1">
      <c r="A5" s="144">
        <v>1</v>
      </c>
      <c r="B5" s="144" t="s">
        <v>534</v>
      </c>
      <c r="C5" s="144" t="s">
        <v>492</v>
      </c>
      <c r="D5" s="144" t="s">
        <v>493</v>
      </c>
      <c r="E5" s="144" t="s">
        <v>494</v>
      </c>
      <c r="G5" s="170" t="s">
        <v>541</v>
      </c>
      <c r="H5" s="171" t="s">
        <v>542</v>
      </c>
    </row>
    <row r="6" spans="1:10" ht="13.5" customHeight="1">
      <c r="A6" s="144">
        <v>2</v>
      </c>
      <c r="B6" s="144" t="s">
        <v>496</v>
      </c>
      <c r="C6" s="144" t="s">
        <v>495</v>
      </c>
      <c r="D6" s="144" t="s">
        <v>497</v>
      </c>
      <c r="E6" s="144" t="s">
        <v>498</v>
      </c>
      <c r="I6" s="168" t="s">
        <v>544</v>
      </c>
    </row>
    <row r="7" spans="1:10" ht="13.5" customHeight="1">
      <c r="A7" s="144">
        <v>3</v>
      </c>
      <c r="B7" s="144" t="s">
        <v>500</v>
      </c>
      <c r="C7" s="144" t="s">
        <v>499</v>
      </c>
      <c r="D7" s="144" t="s">
        <v>501</v>
      </c>
      <c r="E7" s="144" t="s">
        <v>502</v>
      </c>
      <c r="H7" s="171" t="s">
        <v>543</v>
      </c>
      <c r="I7" s="169" t="s">
        <v>546</v>
      </c>
    </row>
    <row r="8" spans="1:10" ht="13.5" customHeight="1">
      <c r="A8" s="144">
        <v>4</v>
      </c>
      <c r="B8" s="144" t="s">
        <v>503</v>
      </c>
      <c r="C8" s="144" t="s">
        <v>504</v>
      </c>
      <c r="D8" s="144" t="s">
        <v>505</v>
      </c>
      <c r="E8" s="144" t="s">
        <v>506</v>
      </c>
      <c r="I8" s="172" t="s">
        <v>545</v>
      </c>
      <c r="J8" s="173" t="s">
        <v>548</v>
      </c>
    </row>
    <row r="9" spans="1:10">
      <c r="A9" s="144">
        <v>5</v>
      </c>
      <c r="B9" s="144" t="s">
        <v>508</v>
      </c>
      <c r="C9" s="144" t="s">
        <v>507</v>
      </c>
      <c r="D9" s="144" t="s">
        <v>509</v>
      </c>
      <c r="E9" s="144" t="s">
        <v>510</v>
      </c>
      <c r="G9" s="164"/>
    </row>
    <row r="10" spans="1:10">
      <c r="A10" s="144">
        <v>6</v>
      </c>
      <c r="B10" s="144" t="s">
        <v>517</v>
      </c>
      <c r="C10" s="144" t="s">
        <v>517</v>
      </c>
      <c r="D10" s="144" t="s">
        <v>509</v>
      </c>
      <c r="E10" s="144" t="s">
        <v>510</v>
      </c>
      <c r="G10" s="164"/>
    </row>
    <row r="11" spans="1:10">
      <c r="A11" s="144">
        <v>7</v>
      </c>
      <c r="B11" s="144" t="s">
        <v>508</v>
      </c>
      <c r="C11" s="144" t="s">
        <v>507</v>
      </c>
      <c r="D11" s="144" t="s">
        <v>517</v>
      </c>
      <c r="E11" s="144" t="s">
        <v>517</v>
      </c>
      <c r="G11" s="170" t="s">
        <v>540</v>
      </c>
      <c r="J11" s="173" t="s">
        <v>549</v>
      </c>
    </row>
    <row r="12" spans="1:10">
      <c r="A12" s="144">
        <v>8</v>
      </c>
      <c r="B12" s="144" t="s">
        <v>511</v>
      </c>
      <c r="C12" s="144" t="s">
        <v>512</v>
      </c>
      <c r="D12" s="144" t="s">
        <v>513</v>
      </c>
      <c r="E12" s="144" t="s">
        <v>514</v>
      </c>
    </row>
    <row r="13" spans="1:10">
      <c r="A13" s="144">
        <v>9</v>
      </c>
      <c r="B13" s="144" t="s">
        <v>515</v>
      </c>
      <c r="C13" s="144" t="s">
        <v>516</v>
      </c>
      <c r="D13" s="144" t="s">
        <v>517</v>
      </c>
      <c r="E13" s="144" t="s">
        <v>517</v>
      </c>
      <c r="G13" s="170" t="s">
        <v>539</v>
      </c>
      <c r="H13" s="171" t="s">
        <v>539</v>
      </c>
    </row>
    <row r="14" spans="1:10">
      <c r="A14" s="144">
        <v>10</v>
      </c>
      <c r="B14" s="144" t="s">
        <v>503</v>
      </c>
      <c r="C14" s="144" t="s">
        <v>504</v>
      </c>
      <c r="D14" s="144" t="s">
        <v>517</v>
      </c>
      <c r="E14" s="144" t="s">
        <v>517</v>
      </c>
      <c r="I14" s="166"/>
      <c r="J14" s="167"/>
    </row>
    <row r="15" spans="1:10">
      <c r="A15" s="144">
        <v>11</v>
      </c>
      <c r="B15" s="144" t="s">
        <v>495</v>
      </c>
      <c r="C15" s="144" t="s">
        <v>496</v>
      </c>
      <c r="D15" s="144" t="s">
        <v>517</v>
      </c>
      <c r="E15" s="144" t="s">
        <v>517</v>
      </c>
      <c r="I15" s="166"/>
    </row>
    <row r="16" spans="1:10">
      <c r="A16" s="144">
        <v>12</v>
      </c>
      <c r="B16" s="161" t="s">
        <v>507</v>
      </c>
      <c r="C16" s="161" t="s">
        <v>508</v>
      </c>
      <c r="D16" s="161" t="s">
        <v>515</v>
      </c>
      <c r="E16" s="161" t="s">
        <v>516</v>
      </c>
      <c r="G16" s="164"/>
    </row>
    <row r="18" spans="1:10">
      <c r="A18" s="163" t="s">
        <v>535</v>
      </c>
      <c r="J18" s="148" t="s">
        <v>552</v>
      </c>
    </row>
    <row r="19" spans="1:10">
      <c r="A19" s="164" t="s">
        <v>536</v>
      </c>
      <c r="J19" s="148" t="s">
        <v>553</v>
      </c>
    </row>
    <row r="20" spans="1:10">
      <c r="A20" s="165" t="s">
        <v>537</v>
      </c>
      <c r="J20" s="148" t="s">
        <v>554</v>
      </c>
    </row>
    <row r="21" spans="1:10">
      <c r="A21" s="166" t="s">
        <v>538</v>
      </c>
      <c r="J21" s="148" t="s">
        <v>555</v>
      </c>
    </row>
    <row r="22" spans="1:10">
      <c r="A22" s="167" t="s">
        <v>547</v>
      </c>
      <c r="J22" s="148" t="s">
        <v>550</v>
      </c>
    </row>
    <row r="23" spans="1:10">
      <c r="J23" s="148" t="s">
        <v>551</v>
      </c>
    </row>
    <row r="24" spans="1:10">
      <c r="J24" s="148" t="s">
        <v>556</v>
      </c>
    </row>
    <row r="25" spans="1:10">
      <c r="J25" s="148" t="s">
        <v>557</v>
      </c>
    </row>
    <row r="26" spans="1:10">
      <c r="J26" s="148" t="s">
        <v>558</v>
      </c>
    </row>
    <row r="27" spans="1:10">
      <c r="J27" s="148" t="s">
        <v>559</v>
      </c>
    </row>
    <row r="28" spans="1:10">
      <c r="J28" s="148" t="s">
        <v>560</v>
      </c>
    </row>
    <row r="29" spans="1:10">
      <c r="J29" s="148" t="s">
        <v>561</v>
      </c>
    </row>
    <row r="30" spans="1:10">
      <c r="J30" s="148" t="s">
        <v>562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J69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831</v>
      </c>
      <c r="B1" s="221" t="s">
        <v>832</v>
      </c>
      <c r="C1" s="221" t="s">
        <v>833</v>
      </c>
      <c r="D1" s="221" t="s">
        <v>834</v>
      </c>
      <c r="E1" s="221" t="s">
        <v>835</v>
      </c>
      <c r="F1" s="221" t="s">
        <v>836</v>
      </c>
      <c r="G1" s="221" t="s">
        <v>837</v>
      </c>
      <c r="H1" s="217"/>
      <c r="I1" s="218" t="s">
        <v>655</v>
      </c>
    </row>
    <row r="2" spans="1:9" ht="15">
      <c r="A2" s="222" t="s">
        <v>838</v>
      </c>
      <c r="B2" s="222">
        <v>0.9</v>
      </c>
      <c r="C2" s="222" t="s">
        <v>839</v>
      </c>
      <c r="D2" s="222"/>
      <c r="E2" s="222" t="s">
        <v>839</v>
      </c>
      <c r="F2" s="222"/>
      <c r="G2" s="222"/>
    </row>
    <row r="3" spans="1:9" ht="15">
      <c r="A3" s="222" t="s">
        <v>840</v>
      </c>
      <c r="B3" s="222">
        <v>0.9</v>
      </c>
      <c r="C3" s="222" t="s">
        <v>841</v>
      </c>
      <c r="D3" s="222"/>
      <c r="E3" s="222" t="s">
        <v>841</v>
      </c>
      <c r="F3" s="222"/>
      <c r="G3" s="222"/>
    </row>
    <row r="4" spans="1:9" ht="15">
      <c r="A4" s="222" t="s">
        <v>842</v>
      </c>
      <c r="B4" s="222">
        <v>0</v>
      </c>
      <c r="C4" s="222" t="s">
        <v>843</v>
      </c>
      <c r="D4" s="222"/>
      <c r="E4" s="222" t="s">
        <v>843</v>
      </c>
      <c r="F4" s="222"/>
      <c r="G4" s="222"/>
    </row>
    <row r="5" spans="1:9" ht="15">
      <c r="A5" s="354" t="s">
        <v>844</v>
      </c>
      <c r="B5" s="223">
        <v>1.8</v>
      </c>
      <c r="C5" s="223" t="s">
        <v>659</v>
      </c>
      <c r="D5" s="223"/>
      <c r="E5" s="223" t="s">
        <v>845</v>
      </c>
      <c r="F5" s="222"/>
      <c r="G5" s="356"/>
    </row>
    <row r="6" spans="1:9" ht="15">
      <c r="A6" s="358"/>
      <c r="B6" s="223">
        <v>1.8</v>
      </c>
      <c r="C6" s="223" t="s">
        <v>846</v>
      </c>
      <c r="D6" s="223"/>
      <c r="E6" s="223" t="s">
        <v>847</v>
      </c>
      <c r="F6" s="222"/>
      <c r="G6" s="359"/>
    </row>
    <row r="7" spans="1:9" ht="15">
      <c r="A7" s="358"/>
      <c r="B7" s="223">
        <v>1.8</v>
      </c>
      <c r="C7" s="223" t="s">
        <v>649</v>
      </c>
      <c r="D7" s="223"/>
      <c r="E7" s="223" t="s">
        <v>845</v>
      </c>
      <c r="F7" s="222"/>
      <c r="G7" s="359"/>
    </row>
    <row r="8" spans="1:9" ht="15">
      <c r="A8" s="358"/>
      <c r="B8" s="223">
        <v>1.8</v>
      </c>
      <c r="C8" s="223" t="s">
        <v>650</v>
      </c>
      <c r="D8" s="223"/>
      <c r="E8" s="223" t="s">
        <v>845</v>
      </c>
      <c r="F8" s="222"/>
      <c r="G8" s="359"/>
    </row>
    <row r="9" spans="1:9" ht="15">
      <c r="A9" s="358"/>
      <c r="B9" s="223">
        <v>1.8</v>
      </c>
      <c r="C9" s="223" t="s">
        <v>651</v>
      </c>
      <c r="D9" s="223"/>
      <c r="E9" s="223" t="s">
        <v>845</v>
      </c>
      <c r="F9" s="222"/>
      <c r="G9" s="359"/>
    </row>
    <row r="10" spans="1:9" ht="15">
      <c r="A10" s="358"/>
      <c r="B10" s="223">
        <v>1.8</v>
      </c>
      <c r="C10" s="223" t="s">
        <v>848</v>
      </c>
      <c r="D10" s="223"/>
      <c r="E10" s="223" t="s">
        <v>845</v>
      </c>
      <c r="F10" s="222"/>
      <c r="G10" s="359"/>
    </row>
    <row r="11" spans="1:9" ht="15">
      <c r="A11" s="355"/>
      <c r="B11" s="223">
        <v>1.8</v>
      </c>
      <c r="C11" s="223" t="s">
        <v>660</v>
      </c>
      <c r="D11" s="223"/>
      <c r="E11" s="223" t="s">
        <v>845</v>
      </c>
      <c r="F11" s="222"/>
      <c r="G11" s="357"/>
    </row>
    <row r="12" spans="1:9" ht="15">
      <c r="A12" s="354" t="s">
        <v>926</v>
      </c>
      <c r="B12" s="222" t="s">
        <v>850</v>
      </c>
      <c r="C12" s="222" t="s">
        <v>851</v>
      </c>
      <c r="D12" s="222"/>
      <c r="E12" s="222" t="s">
        <v>851</v>
      </c>
      <c r="F12" s="222"/>
      <c r="G12" s="363" t="s">
        <v>656</v>
      </c>
    </row>
    <row r="13" spans="1:9" ht="15">
      <c r="A13" s="358"/>
      <c r="B13" s="222">
        <v>1.8</v>
      </c>
      <c r="C13" s="222" t="s">
        <v>852</v>
      </c>
      <c r="D13" s="222"/>
      <c r="E13" s="222" t="s">
        <v>852</v>
      </c>
      <c r="F13" s="222"/>
      <c r="G13" s="364"/>
    </row>
    <row r="14" spans="1:9" ht="15">
      <c r="A14" s="355"/>
      <c r="B14" s="222" t="s">
        <v>853</v>
      </c>
      <c r="C14" s="222" t="s">
        <v>854</v>
      </c>
      <c r="D14" s="222"/>
      <c r="E14" s="222" t="s">
        <v>854</v>
      </c>
      <c r="F14" s="222"/>
      <c r="G14" s="365"/>
    </row>
    <row r="15" spans="1:9" ht="15" customHeight="1">
      <c r="A15" s="354" t="s">
        <v>855</v>
      </c>
      <c r="B15" s="223">
        <v>1.2</v>
      </c>
      <c r="C15" s="223" t="s">
        <v>856</v>
      </c>
      <c r="D15" s="223"/>
      <c r="E15" s="223" t="s">
        <v>856</v>
      </c>
      <c r="F15" s="222"/>
      <c r="G15" s="356" t="s">
        <v>857</v>
      </c>
    </row>
    <row r="16" spans="1:9" ht="15">
      <c r="A16" s="358"/>
      <c r="B16" s="223">
        <v>0</v>
      </c>
      <c r="C16" s="223" t="s">
        <v>858</v>
      </c>
      <c r="D16" s="223"/>
      <c r="E16" s="223" t="s">
        <v>843</v>
      </c>
      <c r="F16" s="222"/>
      <c r="G16" s="359"/>
    </row>
    <row r="17" spans="1:7" ht="15">
      <c r="A17" s="358"/>
      <c r="B17" s="223">
        <v>1.2</v>
      </c>
      <c r="C17" s="223" t="s">
        <v>859</v>
      </c>
      <c r="D17" s="223"/>
      <c r="E17" s="223" t="s">
        <v>859</v>
      </c>
      <c r="F17" s="222"/>
      <c r="G17" s="359"/>
    </row>
    <row r="18" spans="1:7" ht="15">
      <c r="A18" s="358"/>
      <c r="B18" s="223">
        <v>0</v>
      </c>
      <c r="C18" s="223" t="s">
        <v>860</v>
      </c>
      <c r="D18" s="223"/>
      <c r="E18" s="223" t="s">
        <v>843</v>
      </c>
      <c r="F18" s="222"/>
      <c r="G18" s="359"/>
    </row>
    <row r="19" spans="1:7" ht="15">
      <c r="A19" s="358"/>
      <c r="B19" s="223">
        <v>1.8</v>
      </c>
      <c r="C19" s="223" t="s">
        <v>861</v>
      </c>
      <c r="D19" s="223"/>
      <c r="E19" s="223" t="s">
        <v>861</v>
      </c>
      <c r="F19" s="222"/>
      <c r="G19" s="359"/>
    </row>
    <row r="20" spans="1:7" ht="15">
      <c r="A20" s="358"/>
      <c r="B20" s="223">
        <v>1.8</v>
      </c>
      <c r="C20" s="223" t="s">
        <v>661</v>
      </c>
      <c r="D20" s="223"/>
      <c r="E20" s="223" t="s">
        <v>862</v>
      </c>
      <c r="F20" s="222"/>
      <c r="G20" s="359"/>
    </row>
    <row r="21" spans="1:7" ht="15">
      <c r="A21" s="358"/>
      <c r="B21" s="223">
        <v>0.6</v>
      </c>
      <c r="C21" s="223" t="s">
        <v>863</v>
      </c>
      <c r="D21" s="223"/>
      <c r="E21" s="223" t="s">
        <v>863</v>
      </c>
      <c r="F21" s="222"/>
      <c r="G21" s="359"/>
    </row>
    <row r="22" spans="1:7" ht="15">
      <c r="A22" s="358"/>
      <c r="B22" s="223">
        <v>0.6</v>
      </c>
      <c r="C22" s="223" t="s">
        <v>864</v>
      </c>
      <c r="D22" s="223"/>
      <c r="E22" s="223" t="s">
        <v>863</v>
      </c>
      <c r="F22" s="222"/>
      <c r="G22" s="359"/>
    </row>
    <row r="23" spans="1:7" ht="15">
      <c r="A23" s="355"/>
      <c r="B23" s="223">
        <v>0.6</v>
      </c>
      <c r="C23" s="223" t="s">
        <v>865</v>
      </c>
      <c r="D23" s="223"/>
      <c r="E23" s="223" t="s">
        <v>866</v>
      </c>
      <c r="F23" s="222"/>
      <c r="G23" s="357"/>
    </row>
    <row r="24" spans="1:7" ht="15" customHeight="1">
      <c r="A24" s="354" t="s">
        <v>875</v>
      </c>
      <c r="B24" s="223">
        <v>1.8</v>
      </c>
      <c r="C24" s="224" t="s">
        <v>876</v>
      </c>
      <c r="D24" s="223"/>
      <c r="E24" s="225" t="s">
        <v>877</v>
      </c>
      <c r="F24" s="222"/>
      <c r="G24" s="356" t="s">
        <v>656</v>
      </c>
    </row>
    <row r="25" spans="1:7" ht="15">
      <c r="A25" s="358"/>
      <c r="B25" s="223">
        <v>0</v>
      </c>
      <c r="C25" s="224" t="s">
        <v>878</v>
      </c>
      <c r="D25" s="223"/>
      <c r="E25" s="225" t="s">
        <v>843</v>
      </c>
      <c r="F25" s="222"/>
      <c r="G25" s="359"/>
    </row>
    <row r="26" spans="1:7" ht="15">
      <c r="A26" s="358"/>
      <c r="B26" s="223">
        <v>0</v>
      </c>
      <c r="C26" s="224" t="s">
        <v>657</v>
      </c>
      <c r="D26" s="223"/>
      <c r="E26" s="225" t="s">
        <v>879</v>
      </c>
      <c r="F26" s="222"/>
      <c r="G26" s="359"/>
    </row>
    <row r="27" spans="1:7" ht="15">
      <c r="A27" s="358"/>
      <c r="B27" s="223">
        <v>0</v>
      </c>
      <c r="C27" s="224" t="s">
        <v>880</v>
      </c>
      <c r="D27" s="223"/>
      <c r="E27" s="225" t="s">
        <v>879</v>
      </c>
      <c r="F27" s="222"/>
      <c r="G27" s="359"/>
    </row>
    <row r="28" spans="1:7" ht="15">
      <c r="A28" s="358"/>
      <c r="B28" s="223">
        <v>0</v>
      </c>
      <c r="C28" s="224" t="s">
        <v>881</v>
      </c>
      <c r="D28" s="223"/>
      <c r="E28" s="225" t="s">
        <v>879</v>
      </c>
      <c r="F28" s="222"/>
      <c r="G28" s="359"/>
    </row>
    <row r="29" spans="1:7" ht="15">
      <c r="A29" s="358"/>
      <c r="B29" s="223">
        <v>0</v>
      </c>
      <c r="C29" s="224" t="s">
        <v>662</v>
      </c>
      <c r="D29" s="223"/>
      <c r="E29" s="225" t="s">
        <v>879</v>
      </c>
      <c r="F29" s="222"/>
      <c r="G29" s="359"/>
    </row>
    <row r="30" spans="1:7" ht="15">
      <c r="A30" s="358"/>
      <c r="B30" s="223">
        <v>0</v>
      </c>
      <c r="C30" s="224" t="s">
        <v>663</v>
      </c>
      <c r="D30" s="223"/>
      <c r="E30" s="225" t="s">
        <v>879</v>
      </c>
      <c r="F30" s="222"/>
      <c r="G30" s="359"/>
    </row>
    <row r="31" spans="1:7" ht="15">
      <c r="A31" s="358"/>
      <c r="B31" s="223">
        <v>0</v>
      </c>
      <c r="C31" s="224" t="s">
        <v>664</v>
      </c>
      <c r="D31" s="223"/>
      <c r="E31" s="225" t="s">
        <v>879</v>
      </c>
      <c r="F31" s="222"/>
      <c r="G31" s="359"/>
    </row>
    <row r="32" spans="1:7" ht="15">
      <c r="A32" s="358"/>
      <c r="B32" s="223">
        <v>0.9</v>
      </c>
      <c r="C32" s="224" t="s">
        <v>882</v>
      </c>
      <c r="D32" s="223"/>
      <c r="E32" s="225" t="s">
        <v>665</v>
      </c>
      <c r="F32" s="222"/>
      <c r="G32" s="359"/>
    </row>
    <row r="33" spans="1:10" ht="15">
      <c r="A33" s="358"/>
      <c r="B33" s="223">
        <v>1.3</v>
      </c>
      <c r="C33" s="224" t="s">
        <v>658</v>
      </c>
      <c r="D33" s="223"/>
      <c r="E33" s="225" t="s">
        <v>666</v>
      </c>
      <c r="F33" s="222"/>
      <c r="G33" s="359"/>
    </row>
    <row r="34" spans="1:10" ht="15">
      <c r="A34" s="358"/>
      <c r="B34" s="223">
        <v>1.8</v>
      </c>
      <c r="C34" s="224" t="s">
        <v>883</v>
      </c>
      <c r="D34" s="223"/>
      <c r="E34" s="225" t="s">
        <v>877</v>
      </c>
      <c r="F34" s="222"/>
      <c r="G34" s="359"/>
    </row>
    <row r="35" spans="1:10" ht="15">
      <c r="A35" s="358"/>
      <c r="B35" s="223">
        <v>1.8</v>
      </c>
      <c r="C35" s="224" t="s">
        <v>884</v>
      </c>
      <c r="D35" s="223"/>
      <c r="E35" s="225" t="s">
        <v>877</v>
      </c>
      <c r="F35" s="222"/>
      <c r="G35" s="359"/>
    </row>
    <row r="36" spans="1:10" ht="15">
      <c r="A36" s="358"/>
      <c r="B36" s="223">
        <v>1.8</v>
      </c>
      <c r="C36" s="224" t="s">
        <v>885</v>
      </c>
      <c r="D36" s="223"/>
      <c r="E36" s="225" t="s">
        <v>877</v>
      </c>
      <c r="F36" s="222"/>
      <c r="G36" s="359"/>
    </row>
    <row r="37" spans="1:10" ht="15">
      <c r="A37" s="358"/>
      <c r="B37" s="223">
        <v>1.8</v>
      </c>
      <c r="C37" s="224" t="s">
        <v>886</v>
      </c>
      <c r="D37" s="223"/>
      <c r="E37" s="225" t="s">
        <v>877</v>
      </c>
      <c r="F37" s="222"/>
      <c r="G37" s="359"/>
    </row>
    <row r="38" spans="1:10" ht="15">
      <c r="A38" s="358"/>
      <c r="B38" s="223">
        <v>0</v>
      </c>
      <c r="C38" s="224" t="s">
        <v>887</v>
      </c>
      <c r="D38" s="223"/>
      <c r="E38" s="225" t="s">
        <v>879</v>
      </c>
      <c r="F38" s="222"/>
      <c r="G38" s="359"/>
    </row>
    <row r="39" spans="1:10" ht="15">
      <c r="A39" s="358"/>
      <c r="B39" s="223">
        <v>0</v>
      </c>
      <c r="C39" s="224" t="s">
        <v>888</v>
      </c>
      <c r="D39" s="223"/>
      <c r="E39" s="225" t="s">
        <v>879</v>
      </c>
      <c r="F39" s="222"/>
      <c r="G39" s="359"/>
    </row>
    <row r="40" spans="1:10" ht="15">
      <c r="A40" s="358"/>
      <c r="B40" s="223">
        <v>0.9</v>
      </c>
      <c r="C40" s="224" t="s">
        <v>889</v>
      </c>
      <c r="D40" s="223"/>
      <c r="E40" s="225" t="s">
        <v>665</v>
      </c>
      <c r="F40" s="222"/>
      <c r="G40" s="359"/>
    </row>
    <row r="41" spans="1:10" ht="15">
      <c r="A41" s="355"/>
      <c r="B41" s="223">
        <v>0.9</v>
      </c>
      <c r="C41" s="224" t="s">
        <v>890</v>
      </c>
      <c r="D41" s="223"/>
      <c r="E41" s="225" t="s">
        <v>665</v>
      </c>
      <c r="F41" s="222"/>
      <c r="G41" s="357"/>
    </row>
    <row r="42" spans="1:10" ht="15">
      <c r="A42" s="360" t="s">
        <v>891</v>
      </c>
      <c r="B42" s="222">
        <v>0.9</v>
      </c>
      <c r="C42" s="222" t="s">
        <v>892</v>
      </c>
      <c r="D42" s="222"/>
      <c r="E42" s="222" t="s">
        <v>892</v>
      </c>
      <c r="F42" s="222"/>
      <c r="G42" s="356"/>
    </row>
    <row r="43" spans="1:10" ht="18">
      <c r="A43" s="361"/>
      <c r="B43" s="223">
        <v>3.3</v>
      </c>
      <c r="C43" s="230" t="s">
        <v>896</v>
      </c>
      <c r="D43" s="223"/>
      <c r="E43" s="230" t="s">
        <v>897</v>
      </c>
      <c r="F43" s="222"/>
      <c r="G43" s="359"/>
      <c r="I43" s="227"/>
      <c r="J43" s="231"/>
    </row>
    <row r="44" spans="1:10" ht="18">
      <c r="A44" s="362"/>
      <c r="B44" s="223">
        <v>0</v>
      </c>
      <c r="C44" s="223" t="s">
        <v>900</v>
      </c>
      <c r="D44" s="223"/>
      <c r="E44" s="223" t="s">
        <v>843</v>
      </c>
      <c r="F44" s="222"/>
      <c r="G44" s="357"/>
      <c r="I44" s="227"/>
      <c r="J44" s="231"/>
    </row>
    <row r="45" spans="1:10" ht="14.25" customHeight="1">
      <c r="A45" s="354" t="s">
        <v>901</v>
      </c>
      <c r="B45" s="232">
        <v>0.9</v>
      </c>
      <c r="C45" s="232" t="s">
        <v>902</v>
      </c>
      <c r="D45" s="232"/>
      <c r="E45" s="232" t="s">
        <v>903</v>
      </c>
      <c r="F45" s="222"/>
      <c r="G45" s="363"/>
      <c r="I45" s="227"/>
      <c r="J45" s="231"/>
    </row>
    <row r="46" spans="1:10" ht="18">
      <c r="A46" s="358"/>
      <c r="B46" s="232">
        <v>0.9</v>
      </c>
      <c r="C46" s="232" t="s">
        <v>904</v>
      </c>
      <c r="D46" s="232"/>
      <c r="E46" s="232" t="s">
        <v>905</v>
      </c>
      <c r="F46" s="222"/>
      <c r="G46" s="364"/>
      <c r="I46" s="227"/>
      <c r="J46" s="228"/>
    </row>
    <row r="47" spans="1:10" ht="18">
      <c r="A47" s="358"/>
      <c r="B47" s="232">
        <v>1.8</v>
      </c>
      <c r="C47" s="232" t="s">
        <v>906</v>
      </c>
      <c r="D47" s="232"/>
      <c r="E47" s="232" t="s">
        <v>907</v>
      </c>
      <c r="F47" s="222"/>
      <c r="G47" s="364"/>
      <c r="I47" s="227"/>
      <c r="J47" s="228"/>
    </row>
    <row r="48" spans="1:10" ht="18">
      <c r="A48" s="355"/>
      <c r="B48" s="223">
        <v>0</v>
      </c>
      <c r="C48" s="223" t="s">
        <v>908</v>
      </c>
      <c r="D48" s="223"/>
      <c r="E48" s="223" t="s">
        <v>843</v>
      </c>
      <c r="F48" s="222"/>
      <c r="G48" s="365"/>
      <c r="I48" s="227"/>
      <c r="J48" s="228"/>
    </row>
    <row r="49" spans="1:10" ht="18" customHeight="1">
      <c r="A49" s="354" t="s">
        <v>909</v>
      </c>
      <c r="B49" s="222">
        <v>1.2</v>
      </c>
      <c r="C49" s="222" t="s">
        <v>910</v>
      </c>
      <c r="D49" s="222">
        <v>1</v>
      </c>
      <c r="E49" s="222" t="s">
        <v>910</v>
      </c>
      <c r="F49" s="222"/>
      <c r="G49" s="356" t="s">
        <v>857</v>
      </c>
      <c r="I49" s="227"/>
      <c r="J49" s="228"/>
    </row>
    <row r="50" spans="1:10" ht="18">
      <c r="A50" s="355"/>
      <c r="B50" s="222">
        <v>0</v>
      </c>
      <c r="C50" s="222" t="s">
        <v>911</v>
      </c>
      <c r="D50" s="222">
        <v>1</v>
      </c>
      <c r="E50" s="222" t="s">
        <v>911</v>
      </c>
      <c r="F50" s="222"/>
      <c r="G50" s="357"/>
      <c r="I50" s="227"/>
      <c r="J50" s="228"/>
    </row>
    <row r="51" spans="1:10" ht="18">
      <c r="A51" s="354" t="s">
        <v>912</v>
      </c>
      <c r="B51" s="222">
        <v>1.8</v>
      </c>
      <c r="C51" s="222" t="s">
        <v>913</v>
      </c>
      <c r="D51" s="222">
        <v>3</v>
      </c>
      <c r="E51" s="222" t="s">
        <v>913</v>
      </c>
      <c r="F51" s="222"/>
      <c r="G51" s="356"/>
      <c r="I51" s="227"/>
      <c r="J51" s="228"/>
    </row>
    <row r="52" spans="1:10" ht="18">
      <c r="A52" s="358"/>
      <c r="B52" s="222">
        <v>0.9</v>
      </c>
      <c r="C52" s="222" t="s">
        <v>914</v>
      </c>
      <c r="D52" s="222">
        <v>3</v>
      </c>
      <c r="E52" s="222" t="s">
        <v>914</v>
      </c>
      <c r="F52" s="222"/>
      <c r="G52" s="359"/>
      <c r="I52" s="227"/>
      <c r="J52" s="231"/>
    </row>
    <row r="53" spans="1:10" ht="18">
      <c r="A53" s="355"/>
      <c r="B53" s="222">
        <v>0</v>
      </c>
      <c r="C53" s="222" t="s">
        <v>915</v>
      </c>
      <c r="D53" s="222">
        <v>3</v>
      </c>
      <c r="E53" s="222" t="s">
        <v>915</v>
      </c>
      <c r="F53" s="222"/>
      <c r="G53" s="357"/>
      <c r="I53" s="227"/>
      <c r="J53" s="231"/>
    </row>
    <row r="54" spans="1:10" ht="18">
      <c r="A54" s="354" t="s">
        <v>916</v>
      </c>
      <c r="B54" s="222">
        <v>1.8</v>
      </c>
      <c r="C54" s="222" t="s">
        <v>917</v>
      </c>
      <c r="D54" s="222">
        <v>1</v>
      </c>
      <c r="E54" s="222" t="s">
        <v>918</v>
      </c>
      <c r="F54" s="222"/>
      <c r="G54" s="356"/>
      <c r="I54" s="227"/>
      <c r="J54" s="228"/>
    </row>
    <row r="55" spans="1:10" ht="18">
      <c r="A55" s="358"/>
      <c r="B55" s="222">
        <v>0.9</v>
      </c>
      <c r="C55" s="222" t="s">
        <v>919</v>
      </c>
      <c r="D55" s="222">
        <v>1</v>
      </c>
      <c r="E55" s="222" t="s">
        <v>920</v>
      </c>
      <c r="F55" s="222"/>
      <c r="G55" s="359"/>
      <c r="I55" s="227"/>
      <c r="J55" s="228"/>
    </row>
    <row r="56" spans="1:10" ht="18">
      <c r="A56" s="355"/>
      <c r="B56" s="222">
        <v>0</v>
      </c>
      <c r="C56" s="222" t="s">
        <v>921</v>
      </c>
      <c r="D56" s="222">
        <v>1</v>
      </c>
      <c r="E56" s="222" t="s">
        <v>922</v>
      </c>
      <c r="F56" s="222"/>
      <c r="G56" s="357"/>
      <c r="I56" s="227"/>
      <c r="J56" s="231"/>
    </row>
    <row r="57" spans="1:10" ht="18">
      <c r="A57" s="354" t="s">
        <v>923</v>
      </c>
      <c r="B57" s="222">
        <v>1.8</v>
      </c>
      <c r="C57" s="222" t="s">
        <v>924</v>
      </c>
      <c r="D57" s="222">
        <v>1</v>
      </c>
      <c r="E57" s="222" t="s">
        <v>924</v>
      </c>
      <c r="F57" s="222"/>
      <c r="G57" s="356"/>
      <c r="I57" s="227"/>
      <c r="J57" s="231"/>
    </row>
    <row r="58" spans="1:10" ht="18">
      <c r="A58" s="355"/>
      <c r="B58" s="223">
        <v>0</v>
      </c>
      <c r="C58" s="223" t="s">
        <v>925</v>
      </c>
      <c r="D58" s="223">
        <v>1</v>
      </c>
      <c r="E58" s="223" t="s">
        <v>843</v>
      </c>
      <c r="F58" s="222"/>
      <c r="G58" s="357"/>
      <c r="I58" s="227"/>
      <c r="J58" s="231"/>
    </row>
    <row r="59" spans="1:10" ht="18">
      <c r="A59" s="232" t="s">
        <v>667</v>
      </c>
      <c r="B59" s="222">
        <v>1.8</v>
      </c>
      <c r="C59" s="222" t="s">
        <v>668</v>
      </c>
      <c r="D59" s="222">
        <v>1</v>
      </c>
      <c r="E59" s="222" t="s">
        <v>668</v>
      </c>
      <c r="F59" s="222"/>
      <c r="G59" s="222" t="s">
        <v>857</v>
      </c>
      <c r="I59" s="227"/>
      <c r="J59" s="231"/>
    </row>
    <row r="60" spans="1:10" ht="18" customHeight="1">
      <c r="A60" s="354" t="s">
        <v>669</v>
      </c>
      <c r="B60" s="222">
        <v>1.8</v>
      </c>
      <c r="C60" s="222" t="s">
        <v>670</v>
      </c>
      <c r="D60" s="222"/>
      <c r="E60" s="222" t="s">
        <v>670</v>
      </c>
      <c r="F60" s="222"/>
      <c r="G60" s="356" t="s">
        <v>857</v>
      </c>
      <c r="I60" s="227"/>
      <c r="J60" s="231"/>
    </row>
    <row r="61" spans="1:10" ht="18">
      <c r="A61" s="355"/>
      <c r="B61" s="222">
        <v>0</v>
      </c>
      <c r="C61" s="222" t="s">
        <v>671</v>
      </c>
      <c r="D61" s="222"/>
      <c r="E61" s="222" t="s">
        <v>671</v>
      </c>
      <c r="F61" s="222"/>
      <c r="G61" s="357"/>
      <c r="I61" s="227"/>
      <c r="J61" s="231"/>
    </row>
    <row r="62" spans="1:10" ht="18">
      <c r="I62" s="227"/>
      <c r="J62" s="228"/>
    </row>
    <row r="63" spans="1:10" ht="18">
      <c r="I63" s="227"/>
      <c r="J63" s="228"/>
    </row>
    <row r="64" spans="1:10" ht="18">
      <c r="I64" s="227"/>
      <c r="J64" s="228"/>
    </row>
    <row r="65" spans="9:10" ht="18">
      <c r="I65" s="227"/>
      <c r="J65" s="228"/>
    </row>
    <row r="66" spans="9:10" ht="18">
      <c r="I66" s="227"/>
      <c r="J66" s="231"/>
    </row>
    <row r="67" spans="9:10" ht="18">
      <c r="I67" s="227"/>
      <c r="J67" s="231"/>
    </row>
    <row r="68" spans="9:10" ht="18">
      <c r="I68" s="227"/>
      <c r="J68" s="228"/>
    </row>
    <row r="69" spans="9:10" ht="18">
      <c r="I69" s="227"/>
      <c r="J69" s="228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A42:A44"/>
    <mergeCell ref="G42:G44"/>
    <mergeCell ref="A45:A48"/>
    <mergeCell ref="G45:G48"/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831</v>
      </c>
      <c r="B1" s="221" t="s">
        <v>832</v>
      </c>
      <c r="C1" s="221" t="s">
        <v>833</v>
      </c>
      <c r="D1" s="221" t="s">
        <v>834</v>
      </c>
      <c r="E1" s="221" t="s">
        <v>835</v>
      </c>
      <c r="F1" s="221" t="s">
        <v>836</v>
      </c>
      <c r="G1" s="221" t="s">
        <v>837</v>
      </c>
      <c r="H1" s="217"/>
      <c r="I1" s="218" t="s">
        <v>655</v>
      </c>
    </row>
    <row r="2" spans="1:9" ht="15">
      <c r="A2" s="222" t="s">
        <v>838</v>
      </c>
      <c r="B2" s="222">
        <v>0.9</v>
      </c>
      <c r="C2" s="222" t="s">
        <v>839</v>
      </c>
      <c r="D2" s="222"/>
      <c r="E2" s="222" t="s">
        <v>839</v>
      </c>
      <c r="F2" s="222"/>
      <c r="G2" s="222"/>
    </row>
    <row r="3" spans="1:9" ht="15">
      <c r="A3" s="222" t="s">
        <v>840</v>
      </c>
      <c r="B3" s="222">
        <v>0.9</v>
      </c>
      <c r="C3" s="222" t="s">
        <v>841</v>
      </c>
      <c r="D3" s="222"/>
      <c r="E3" s="222" t="s">
        <v>841</v>
      </c>
      <c r="F3" s="222"/>
      <c r="G3" s="222"/>
    </row>
    <row r="4" spans="1:9" ht="15">
      <c r="A4" s="222" t="s">
        <v>842</v>
      </c>
      <c r="B4" s="222">
        <v>0</v>
      </c>
      <c r="C4" s="222" t="s">
        <v>843</v>
      </c>
      <c r="D4" s="222"/>
      <c r="E4" s="222" t="s">
        <v>843</v>
      </c>
      <c r="F4" s="222"/>
      <c r="G4" s="222"/>
    </row>
    <row r="5" spans="1:9" ht="15">
      <c r="A5" s="354" t="s">
        <v>844</v>
      </c>
      <c r="B5" s="223">
        <v>1.8</v>
      </c>
      <c r="C5" s="223" t="s">
        <v>659</v>
      </c>
      <c r="D5" s="223"/>
      <c r="E5" s="223" t="s">
        <v>845</v>
      </c>
      <c r="F5" s="222"/>
      <c r="G5" s="356"/>
    </row>
    <row r="6" spans="1:9" ht="15">
      <c r="A6" s="358"/>
      <c r="B6" s="223">
        <v>1.8</v>
      </c>
      <c r="C6" s="223" t="s">
        <v>846</v>
      </c>
      <c r="D6" s="223"/>
      <c r="E6" s="223" t="s">
        <v>847</v>
      </c>
      <c r="F6" s="222"/>
      <c r="G6" s="359"/>
    </row>
    <row r="7" spans="1:9" ht="15">
      <c r="A7" s="358"/>
      <c r="B7" s="223">
        <v>1.8</v>
      </c>
      <c r="C7" s="223" t="s">
        <v>649</v>
      </c>
      <c r="D7" s="223"/>
      <c r="E7" s="223" t="s">
        <v>845</v>
      </c>
      <c r="F7" s="222"/>
      <c r="G7" s="359"/>
    </row>
    <row r="8" spans="1:9" ht="15">
      <c r="A8" s="358"/>
      <c r="B8" s="223">
        <v>1.8</v>
      </c>
      <c r="C8" s="223" t="s">
        <v>650</v>
      </c>
      <c r="D8" s="223"/>
      <c r="E8" s="223" t="s">
        <v>845</v>
      </c>
      <c r="F8" s="222"/>
      <c r="G8" s="359"/>
    </row>
    <row r="9" spans="1:9" ht="15">
      <c r="A9" s="358"/>
      <c r="B9" s="223">
        <v>1.8</v>
      </c>
      <c r="C9" s="223" t="s">
        <v>651</v>
      </c>
      <c r="D9" s="223"/>
      <c r="E9" s="223" t="s">
        <v>845</v>
      </c>
      <c r="F9" s="222"/>
      <c r="G9" s="359"/>
    </row>
    <row r="10" spans="1:9" ht="15">
      <c r="A10" s="358"/>
      <c r="B10" s="223">
        <v>1.8</v>
      </c>
      <c r="C10" s="223" t="s">
        <v>848</v>
      </c>
      <c r="D10" s="223"/>
      <c r="E10" s="223" t="s">
        <v>845</v>
      </c>
      <c r="F10" s="222"/>
      <c r="G10" s="359"/>
    </row>
    <row r="11" spans="1:9" ht="15">
      <c r="A11" s="355"/>
      <c r="B11" s="223">
        <v>1.8</v>
      </c>
      <c r="C11" s="223" t="s">
        <v>660</v>
      </c>
      <c r="D11" s="223"/>
      <c r="E11" s="223" t="s">
        <v>845</v>
      </c>
      <c r="F11" s="222"/>
      <c r="G11" s="357"/>
    </row>
    <row r="12" spans="1:9" ht="15">
      <c r="A12" s="358" t="s">
        <v>849</v>
      </c>
      <c r="B12" s="222" t="s">
        <v>850</v>
      </c>
      <c r="C12" s="222" t="s">
        <v>851</v>
      </c>
      <c r="D12" s="222"/>
      <c r="E12" s="222" t="s">
        <v>851</v>
      </c>
      <c r="F12" s="222"/>
      <c r="G12" s="363" t="s">
        <v>656</v>
      </c>
    </row>
    <row r="13" spans="1:9" ht="15">
      <c r="A13" s="358"/>
      <c r="B13" s="222">
        <v>1.8</v>
      </c>
      <c r="C13" s="222" t="s">
        <v>852</v>
      </c>
      <c r="D13" s="222"/>
      <c r="E13" s="222" t="s">
        <v>852</v>
      </c>
      <c r="F13" s="222"/>
      <c r="G13" s="364"/>
    </row>
    <row r="14" spans="1:9" ht="15">
      <c r="A14" s="355"/>
      <c r="B14" s="222" t="s">
        <v>853</v>
      </c>
      <c r="C14" s="222" t="s">
        <v>854</v>
      </c>
      <c r="D14" s="222"/>
      <c r="E14" s="222" t="s">
        <v>854</v>
      </c>
      <c r="F14" s="222"/>
      <c r="G14" s="365"/>
    </row>
    <row r="15" spans="1:9" ht="15">
      <c r="A15" s="354" t="s">
        <v>855</v>
      </c>
      <c r="B15" s="223">
        <v>1.2</v>
      </c>
      <c r="C15" s="223" t="s">
        <v>856</v>
      </c>
      <c r="D15" s="223"/>
      <c r="E15" s="223" t="s">
        <v>856</v>
      </c>
      <c r="F15" s="222"/>
      <c r="G15" s="356" t="s">
        <v>857</v>
      </c>
    </row>
    <row r="16" spans="1:9" ht="15">
      <c r="A16" s="358"/>
      <c r="B16" s="223">
        <v>0</v>
      </c>
      <c r="C16" s="223" t="s">
        <v>858</v>
      </c>
      <c r="D16" s="223"/>
      <c r="E16" s="223" t="s">
        <v>843</v>
      </c>
      <c r="F16" s="222"/>
      <c r="G16" s="359"/>
    </row>
    <row r="17" spans="1:7" ht="15">
      <c r="A17" s="358"/>
      <c r="B17" s="223">
        <v>1.2</v>
      </c>
      <c r="C17" s="223" t="s">
        <v>859</v>
      </c>
      <c r="D17" s="223"/>
      <c r="E17" s="223" t="s">
        <v>859</v>
      </c>
      <c r="F17" s="222"/>
      <c r="G17" s="359"/>
    </row>
    <row r="18" spans="1:7" ht="15">
      <c r="A18" s="358"/>
      <c r="B18" s="223">
        <v>0</v>
      </c>
      <c r="C18" s="223" t="s">
        <v>860</v>
      </c>
      <c r="D18" s="223"/>
      <c r="E18" s="223" t="s">
        <v>843</v>
      </c>
      <c r="F18" s="222"/>
      <c r="G18" s="359"/>
    </row>
    <row r="19" spans="1:7" ht="15">
      <c r="A19" s="358"/>
      <c r="B19" s="223">
        <v>1.8</v>
      </c>
      <c r="C19" s="223" t="s">
        <v>861</v>
      </c>
      <c r="D19" s="223"/>
      <c r="E19" s="223" t="s">
        <v>861</v>
      </c>
      <c r="F19" s="222"/>
      <c r="G19" s="359"/>
    </row>
    <row r="20" spans="1:7" ht="15">
      <c r="A20" s="358"/>
      <c r="B20" s="223">
        <v>1.8</v>
      </c>
      <c r="C20" s="223" t="s">
        <v>661</v>
      </c>
      <c r="D20" s="223"/>
      <c r="E20" s="223" t="s">
        <v>862</v>
      </c>
      <c r="F20" s="222"/>
      <c r="G20" s="359"/>
    </row>
    <row r="21" spans="1:7" ht="15">
      <c r="A21" s="358"/>
      <c r="B21" s="223">
        <v>0.6</v>
      </c>
      <c r="C21" s="223" t="s">
        <v>863</v>
      </c>
      <c r="D21" s="223"/>
      <c r="E21" s="223" t="s">
        <v>863</v>
      </c>
      <c r="F21" s="222"/>
      <c r="G21" s="359"/>
    </row>
    <row r="22" spans="1:7" ht="15">
      <c r="A22" s="358"/>
      <c r="B22" s="223">
        <v>0.6</v>
      </c>
      <c r="C22" s="223" t="s">
        <v>864</v>
      </c>
      <c r="D22" s="223"/>
      <c r="E22" s="223" t="s">
        <v>863</v>
      </c>
      <c r="F22" s="222"/>
      <c r="G22" s="359"/>
    </row>
    <row r="23" spans="1:7" ht="15">
      <c r="A23" s="358"/>
      <c r="B23" s="223">
        <v>0.6</v>
      </c>
      <c r="C23" s="223" t="s">
        <v>865</v>
      </c>
      <c r="D23" s="223"/>
      <c r="E23" s="223" t="s">
        <v>866</v>
      </c>
      <c r="F23" s="222"/>
      <c r="G23" s="359"/>
    </row>
    <row r="24" spans="1:7" ht="15">
      <c r="A24" s="267"/>
      <c r="B24" s="223">
        <v>1.2</v>
      </c>
      <c r="C24" s="223" t="s">
        <v>867</v>
      </c>
      <c r="D24" s="223"/>
      <c r="E24" s="223" t="s">
        <v>868</v>
      </c>
      <c r="F24" s="222"/>
      <c r="G24" s="268"/>
    </row>
    <row r="25" spans="1:7" ht="15">
      <c r="A25" s="267"/>
      <c r="B25" s="223">
        <v>1.8</v>
      </c>
      <c r="C25" s="223" t="s">
        <v>869</v>
      </c>
      <c r="D25" s="223"/>
      <c r="E25" s="223" t="s">
        <v>845</v>
      </c>
      <c r="F25" s="222"/>
      <c r="G25" s="268"/>
    </row>
    <row r="26" spans="1:7" ht="15">
      <c r="A26" s="267"/>
      <c r="B26" s="223">
        <v>0.6</v>
      </c>
      <c r="C26" s="223" t="s">
        <v>870</v>
      </c>
      <c r="D26" s="223"/>
      <c r="E26" s="223" t="s">
        <v>863</v>
      </c>
      <c r="F26" s="222"/>
      <c r="G26" s="268"/>
    </row>
    <row r="27" spans="1:7" ht="15">
      <c r="A27" s="267"/>
      <c r="B27" s="223">
        <v>0.6</v>
      </c>
      <c r="C27" s="223" t="s">
        <v>871</v>
      </c>
      <c r="D27" s="223"/>
      <c r="E27" s="223" t="s">
        <v>872</v>
      </c>
      <c r="F27" s="222"/>
      <c r="G27" s="268"/>
    </row>
    <row r="28" spans="1:7" ht="15">
      <c r="A28" s="267"/>
      <c r="B28" s="223">
        <v>0</v>
      </c>
      <c r="C28" s="223" t="s">
        <v>873</v>
      </c>
      <c r="D28" s="223"/>
      <c r="E28" s="223" t="s">
        <v>843</v>
      </c>
      <c r="F28" s="222"/>
      <c r="G28" s="268"/>
    </row>
    <row r="29" spans="1:7" ht="15">
      <c r="A29" s="267"/>
      <c r="B29" s="223">
        <v>1.2</v>
      </c>
      <c r="C29" s="223" t="s">
        <v>874</v>
      </c>
      <c r="D29" s="223"/>
      <c r="E29" s="223" t="s">
        <v>874</v>
      </c>
      <c r="F29" s="222"/>
      <c r="G29" s="268"/>
    </row>
    <row r="30" spans="1:7" ht="15">
      <c r="A30" s="354" t="s">
        <v>875</v>
      </c>
      <c r="B30" s="223">
        <v>1.8</v>
      </c>
      <c r="C30" s="224" t="s">
        <v>876</v>
      </c>
      <c r="D30" s="223"/>
      <c r="E30" s="225" t="s">
        <v>877</v>
      </c>
      <c r="F30" s="222"/>
      <c r="G30" s="356" t="s">
        <v>656</v>
      </c>
    </row>
    <row r="31" spans="1:7" ht="15">
      <c r="A31" s="366"/>
      <c r="B31" s="223">
        <v>0</v>
      </c>
      <c r="C31" s="224" t="s">
        <v>878</v>
      </c>
      <c r="D31" s="223"/>
      <c r="E31" s="225" t="s">
        <v>843</v>
      </c>
      <c r="F31" s="222"/>
      <c r="G31" s="367"/>
    </row>
    <row r="32" spans="1:7" ht="15">
      <c r="A32" s="366"/>
      <c r="B32" s="223">
        <v>0</v>
      </c>
      <c r="C32" s="224" t="s">
        <v>657</v>
      </c>
      <c r="D32" s="223"/>
      <c r="E32" s="225" t="s">
        <v>879</v>
      </c>
      <c r="F32" s="222"/>
      <c r="G32" s="367"/>
    </row>
    <row r="33" spans="1:7" ht="15">
      <c r="A33" s="366"/>
      <c r="B33" s="223">
        <v>0</v>
      </c>
      <c r="C33" s="224" t="s">
        <v>880</v>
      </c>
      <c r="D33" s="223"/>
      <c r="E33" s="225" t="s">
        <v>879</v>
      </c>
      <c r="F33" s="222"/>
      <c r="G33" s="367"/>
    </row>
    <row r="34" spans="1:7" ht="15">
      <c r="A34" s="366"/>
      <c r="B34" s="223">
        <v>0</v>
      </c>
      <c r="C34" s="224" t="s">
        <v>881</v>
      </c>
      <c r="D34" s="223"/>
      <c r="E34" s="225" t="s">
        <v>879</v>
      </c>
      <c r="F34" s="222"/>
      <c r="G34" s="367"/>
    </row>
    <row r="35" spans="1:7" ht="15">
      <c r="A35" s="366"/>
      <c r="B35" s="223">
        <v>0</v>
      </c>
      <c r="C35" s="224" t="s">
        <v>662</v>
      </c>
      <c r="D35" s="223"/>
      <c r="E35" s="225" t="s">
        <v>879</v>
      </c>
      <c r="F35" s="222"/>
      <c r="G35" s="367"/>
    </row>
    <row r="36" spans="1:7" ht="15">
      <c r="A36" s="366"/>
      <c r="B36" s="223">
        <v>0</v>
      </c>
      <c r="C36" s="224" t="s">
        <v>663</v>
      </c>
      <c r="D36" s="223"/>
      <c r="E36" s="225" t="s">
        <v>879</v>
      </c>
      <c r="F36" s="222"/>
      <c r="G36" s="367"/>
    </row>
    <row r="37" spans="1:7" ht="15">
      <c r="A37" s="366"/>
      <c r="B37" s="223">
        <v>0</v>
      </c>
      <c r="C37" s="224" t="s">
        <v>664</v>
      </c>
      <c r="D37" s="223"/>
      <c r="E37" s="225" t="s">
        <v>879</v>
      </c>
      <c r="F37" s="222"/>
      <c r="G37" s="367"/>
    </row>
    <row r="38" spans="1:7" ht="15">
      <c r="A38" s="366"/>
      <c r="B38" s="223">
        <v>0.9</v>
      </c>
      <c r="C38" s="224" t="s">
        <v>882</v>
      </c>
      <c r="D38" s="223"/>
      <c r="E38" s="225" t="s">
        <v>665</v>
      </c>
      <c r="F38" s="222"/>
      <c r="G38" s="367"/>
    </row>
    <row r="39" spans="1:7" ht="15">
      <c r="A39" s="366"/>
      <c r="B39" s="223">
        <v>1.3</v>
      </c>
      <c r="C39" s="224" t="s">
        <v>658</v>
      </c>
      <c r="D39" s="223"/>
      <c r="E39" s="225" t="s">
        <v>666</v>
      </c>
      <c r="F39" s="222"/>
      <c r="G39" s="367"/>
    </row>
    <row r="40" spans="1:7" ht="15">
      <c r="A40" s="366"/>
      <c r="B40" s="223">
        <v>1.8</v>
      </c>
      <c r="C40" s="224" t="s">
        <v>883</v>
      </c>
      <c r="D40" s="223"/>
      <c r="E40" s="225" t="s">
        <v>877</v>
      </c>
      <c r="F40" s="222"/>
      <c r="G40" s="367"/>
    </row>
    <row r="41" spans="1:7" ht="15">
      <c r="A41" s="366"/>
      <c r="B41" s="223">
        <v>1.8</v>
      </c>
      <c r="C41" s="224" t="s">
        <v>884</v>
      </c>
      <c r="D41" s="223"/>
      <c r="E41" s="225" t="s">
        <v>877</v>
      </c>
      <c r="F41" s="222"/>
      <c r="G41" s="367"/>
    </row>
    <row r="42" spans="1:7" ht="15">
      <c r="A42" s="366"/>
      <c r="B42" s="223">
        <v>1.8</v>
      </c>
      <c r="C42" s="224" t="s">
        <v>885</v>
      </c>
      <c r="D42" s="223"/>
      <c r="E42" s="225" t="s">
        <v>877</v>
      </c>
      <c r="F42" s="222"/>
      <c r="G42" s="367"/>
    </row>
    <row r="43" spans="1:7" ht="15">
      <c r="A43" s="366"/>
      <c r="B43" s="223">
        <v>1.8</v>
      </c>
      <c r="C43" s="224" t="s">
        <v>886</v>
      </c>
      <c r="D43" s="223"/>
      <c r="E43" s="225" t="s">
        <v>877</v>
      </c>
      <c r="F43" s="222"/>
      <c r="G43" s="367"/>
    </row>
    <row r="44" spans="1:7" ht="15">
      <c r="A44" s="366"/>
      <c r="B44" s="223">
        <v>0</v>
      </c>
      <c r="C44" s="224" t="s">
        <v>887</v>
      </c>
      <c r="D44" s="223"/>
      <c r="E44" s="225" t="s">
        <v>879</v>
      </c>
      <c r="F44" s="222"/>
      <c r="G44" s="367"/>
    </row>
    <row r="45" spans="1:7" ht="15">
      <c r="A45" s="366"/>
      <c r="B45" s="223">
        <v>0</v>
      </c>
      <c r="C45" s="224" t="s">
        <v>888</v>
      </c>
      <c r="D45" s="223"/>
      <c r="E45" s="225" t="s">
        <v>879</v>
      </c>
      <c r="F45" s="222"/>
      <c r="G45" s="367"/>
    </row>
    <row r="46" spans="1:7" ht="15">
      <c r="A46" s="366"/>
      <c r="B46" s="223">
        <v>0.9</v>
      </c>
      <c r="C46" s="224" t="s">
        <v>889</v>
      </c>
      <c r="D46" s="223"/>
      <c r="E46" s="225" t="s">
        <v>665</v>
      </c>
      <c r="F46" s="222"/>
      <c r="G46" s="367"/>
    </row>
    <row r="47" spans="1:7" ht="15">
      <c r="A47" s="366"/>
      <c r="B47" s="223">
        <v>0.9</v>
      </c>
      <c r="C47" s="224" t="s">
        <v>890</v>
      </c>
      <c r="D47" s="223"/>
      <c r="E47" s="225" t="s">
        <v>665</v>
      </c>
      <c r="F47" s="222"/>
      <c r="G47" s="367"/>
    </row>
    <row r="48" spans="1:7" ht="15">
      <c r="A48" s="354" t="s">
        <v>891</v>
      </c>
      <c r="B48" s="222">
        <v>0.9</v>
      </c>
      <c r="C48" s="222" t="s">
        <v>892</v>
      </c>
      <c r="D48" s="222"/>
      <c r="E48" s="222" t="s">
        <v>892</v>
      </c>
      <c r="F48" s="222"/>
      <c r="G48" s="356" t="s">
        <v>893</v>
      </c>
    </row>
    <row r="49" spans="1:10" ht="18">
      <c r="A49" s="358"/>
      <c r="B49" s="222">
        <v>0.9</v>
      </c>
      <c r="C49" s="226" t="s">
        <v>894</v>
      </c>
      <c r="D49" s="222"/>
      <c r="E49" s="226" t="s">
        <v>894</v>
      </c>
      <c r="F49" s="222"/>
      <c r="G49" s="359"/>
      <c r="I49" s="227"/>
      <c r="J49" s="228"/>
    </row>
    <row r="50" spans="1:10" ht="18">
      <c r="A50" s="358"/>
      <c r="B50" s="222">
        <v>0.9</v>
      </c>
      <c r="C50" s="226" t="s">
        <v>895</v>
      </c>
      <c r="D50" s="222"/>
      <c r="E50" s="226" t="s">
        <v>895</v>
      </c>
      <c r="F50" s="222"/>
      <c r="G50" s="359"/>
      <c r="I50" s="227"/>
      <c r="J50" s="229"/>
    </row>
    <row r="51" spans="1:10" ht="18">
      <c r="A51" s="358"/>
      <c r="B51" s="223">
        <v>3.3</v>
      </c>
      <c r="C51" s="230" t="s">
        <v>896</v>
      </c>
      <c r="D51" s="223"/>
      <c r="E51" s="230" t="s">
        <v>897</v>
      </c>
      <c r="F51" s="222"/>
      <c r="G51" s="359"/>
      <c r="I51" s="227"/>
      <c r="J51" s="231"/>
    </row>
    <row r="52" spans="1:10" ht="18">
      <c r="A52" s="358"/>
      <c r="B52" s="223">
        <v>3.3</v>
      </c>
      <c r="C52" s="230" t="s">
        <v>898</v>
      </c>
      <c r="D52" s="223"/>
      <c r="E52" s="230" t="s">
        <v>897</v>
      </c>
      <c r="F52" s="222"/>
      <c r="G52" s="359"/>
      <c r="I52" s="227"/>
      <c r="J52" s="231"/>
    </row>
    <row r="53" spans="1:10" ht="18">
      <c r="A53" s="358"/>
      <c r="B53" s="223">
        <v>0</v>
      </c>
      <c r="C53" s="230" t="s">
        <v>899</v>
      </c>
      <c r="D53" s="223"/>
      <c r="E53" s="223" t="s">
        <v>843</v>
      </c>
      <c r="F53" s="222"/>
      <c r="G53" s="359"/>
      <c r="I53" s="227"/>
      <c r="J53" s="231"/>
    </row>
    <row r="54" spans="1:10" ht="18">
      <c r="A54" s="358"/>
      <c r="B54" s="223">
        <v>0</v>
      </c>
      <c r="C54" s="223" t="s">
        <v>900</v>
      </c>
      <c r="D54" s="223"/>
      <c r="E54" s="223" t="s">
        <v>843</v>
      </c>
      <c r="F54" s="222"/>
      <c r="G54" s="359"/>
      <c r="I54" s="227"/>
      <c r="J54" s="231"/>
    </row>
    <row r="55" spans="1:10" ht="18">
      <c r="A55" s="355"/>
      <c r="B55" s="222">
        <v>0</v>
      </c>
      <c r="C55" s="222" t="s">
        <v>843</v>
      </c>
      <c r="D55" s="222"/>
      <c r="E55" s="222" t="s">
        <v>843</v>
      </c>
      <c r="F55" s="222"/>
      <c r="G55" s="357"/>
      <c r="I55" s="227"/>
      <c r="J55" s="231"/>
    </row>
    <row r="56" spans="1:10" ht="14.25" customHeight="1">
      <c r="A56" s="354" t="s">
        <v>901</v>
      </c>
      <c r="B56" s="232">
        <v>0.9</v>
      </c>
      <c r="C56" s="232" t="s">
        <v>902</v>
      </c>
      <c r="D56" s="232"/>
      <c r="E56" s="232" t="s">
        <v>903</v>
      </c>
      <c r="F56" s="222"/>
      <c r="G56" s="363"/>
      <c r="I56" s="227"/>
      <c r="J56" s="231"/>
    </row>
    <row r="57" spans="1:10" ht="18">
      <c r="A57" s="358"/>
      <c r="B57" s="232">
        <v>0.9</v>
      </c>
      <c r="C57" s="232" t="s">
        <v>904</v>
      </c>
      <c r="D57" s="232"/>
      <c r="E57" s="232" t="s">
        <v>905</v>
      </c>
      <c r="F57" s="222"/>
      <c r="G57" s="364"/>
      <c r="I57" s="227"/>
      <c r="J57" s="228"/>
    </row>
    <row r="58" spans="1:10" ht="18">
      <c r="A58" s="358"/>
      <c r="B58" s="232">
        <v>1.8</v>
      </c>
      <c r="C58" s="232" t="s">
        <v>906</v>
      </c>
      <c r="D58" s="232"/>
      <c r="E58" s="232" t="s">
        <v>907</v>
      </c>
      <c r="F58" s="222"/>
      <c r="G58" s="364"/>
      <c r="I58" s="227"/>
      <c r="J58" s="228"/>
    </row>
    <row r="59" spans="1:10" ht="18">
      <c r="A59" s="355"/>
      <c r="B59" s="223">
        <v>0</v>
      </c>
      <c r="C59" s="223" t="s">
        <v>908</v>
      </c>
      <c r="D59" s="223"/>
      <c r="E59" s="223" t="s">
        <v>843</v>
      </c>
      <c r="F59" s="222"/>
      <c r="G59" s="365"/>
      <c r="I59" s="227"/>
      <c r="J59" s="228"/>
    </row>
    <row r="60" spans="1:10" ht="18">
      <c r="A60" s="354" t="s">
        <v>909</v>
      </c>
      <c r="B60" s="222">
        <v>1.2</v>
      </c>
      <c r="C60" s="222" t="s">
        <v>910</v>
      </c>
      <c r="D60" s="222">
        <v>1</v>
      </c>
      <c r="E60" s="222" t="s">
        <v>910</v>
      </c>
      <c r="F60" s="222"/>
      <c r="G60" s="356" t="s">
        <v>857</v>
      </c>
      <c r="I60" s="227"/>
      <c r="J60" s="228"/>
    </row>
    <row r="61" spans="1:10" ht="18">
      <c r="A61" s="355"/>
      <c r="B61" s="222">
        <v>0</v>
      </c>
      <c r="C61" s="222" t="s">
        <v>911</v>
      </c>
      <c r="D61" s="222">
        <v>1</v>
      </c>
      <c r="E61" s="222" t="s">
        <v>911</v>
      </c>
      <c r="F61" s="222"/>
      <c r="G61" s="357"/>
      <c r="I61" s="227"/>
      <c r="J61" s="228"/>
    </row>
    <row r="62" spans="1:10" ht="18">
      <c r="A62" s="354" t="s">
        <v>912</v>
      </c>
      <c r="B62" s="222">
        <v>1.8</v>
      </c>
      <c r="C62" s="222" t="s">
        <v>913</v>
      </c>
      <c r="D62" s="222">
        <v>3</v>
      </c>
      <c r="E62" s="222" t="s">
        <v>913</v>
      </c>
      <c r="F62" s="222"/>
      <c r="G62" s="356"/>
      <c r="I62" s="227"/>
      <c r="J62" s="228"/>
    </row>
    <row r="63" spans="1:10" ht="18">
      <c r="A63" s="358"/>
      <c r="B63" s="222">
        <v>0.9</v>
      </c>
      <c r="C63" s="222" t="s">
        <v>914</v>
      </c>
      <c r="D63" s="222">
        <v>3</v>
      </c>
      <c r="E63" s="222" t="s">
        <v>914</v>
      </c>
      <c r="F63" s="222"/>
      <c r="G63" s="359"/>
      <c r="I63" s="227"/>
      <c r="J63" s="231"/>
    </row>
    <row r="64" spans="1:10" ht="18">
      <c r="A64" s="355"/>
      <c r="B64" s="222">
        <v>0</v>
      </c>
      <c r="C64" s="222" t="s">
        <v>915</v>
      </c>
      <c r="D64" s="222">
        <v>3</v>
      </c>
      <c r="E64" s="222" t="s">
        <v>915</v>
      </c>
      <c r="F64" s="222"/>
      <c r="G64" s="357"/>
      <c r="I64" s="227"/>
      <c r="J64" s="231"/>
    </row>
    <row r="65" spans="1:10" ht="18">
      <c r="A65" s="354" t="s">
        <v>916</v>
      </c>
      <c r="B65" s="222">
        <v>1.8</v>
      </c>
      <c r="C65" s="222" t="s">
        <v>917</v>
      </c>
      <c r="D65" s="222">
        <v>1</v>
      </c>
      <c r="E65" s="222" t="s">
        <v>918</v>
      </c>
      <c r="F65" s="222"/>
      <c r="G65" s="356"/>
      <c r="I65" s="227"/>
      <c r="J65" s="228"/>
    </row>
    <row r="66" spans="1:10" ht="18">
      <c r="A66" s="358"/>
      <c r="B66" s="222">
        <v>0.9</v>
      </c>
      <c r="C66" s="222" t="s">
        <v>919</v>
      </c>
      <c r="D66" s="222">
        <v>1</v>
      </c>
      <c r="E66" s="222" t="s">
        <v>920</v>
      </c>
      <c r="F66" s="222"/>
      <c r="G66" s="359"/>
      <c r="I66" s="227"/>
      <c r="J66" s="228"/>
    </row>
    <row r="67" spans="1:10" ht="18">
      <c r="A67" s="355"/>
      <c r="B67" s="222">
        <v>0</v>
      </c>
      <c r="C67" s="222" t="s">
        <v>921</v>
      </c>
      <c r="D67" s="222">
        <v>1</v>
      </c>
      <c r="E67" s="222" t="s">
        <v>922</v>
      </c>
      <c r="F67" s="222"/>
      <c r="G67" s="357"/>
      <c r="I67" s="227"/>
      <c r="J67" s="231"/>
    </row>
    <row r="68" spans="1:10" ht="18">
      <c r="A68" s="354" t="s">
        <v>923</v>
      </c>
      <c r="B68" s="222">
        <v>1.8</v>
      </c>
      <c r="C68" s="222" t="s">
        <v>924</v>
      </c>
      <c r="D68" s="222">
        <v>1</v>
      </c>
      <c r="E68" s="222" t="s">
        <v>924</v>
      </c>
      <c r="F68" s="222"/>
      <c r="G68" s="356"/>
      <c r="I68" s="227"/>
      <c r="J68" s="231"/>
    </row>
    <row r="69" spans="1:10" ht="18">
      <c r="A69" s="355"/>
      <c r="B69" s="223">
        <v>0</v>
      </c>
      <c r="C69" s="223" t="s">
        <v>925</v>
      </c>
      <c r="D69" s="223">
        <v>1</v>
      </c>
      <c r="E69" s="223" t="s">
        <v>843</v>
      </c>
      <c r="F69" s="222"/>
      <c r="G69" s="357"/>
      <c r="I69" s="227"/>
      <c r="J69" s="231"/>
    </row>
    <row r="70" spans="1:10" ht="18">
      <c r="A70" s="232" t="s">
        <v>667</v>
      </c>
      <c r="B70" s="222">
        <v>1.8</v>
      </c>
      <c r="C70" s="222" t="s">
        <v>668</v>
      </c>
      <c r="D70" s="222">
        <v>1</v>
      </c>
      <c r="E70" s="222" t="s">
        <v>668</v>
      </c>
      <c r="F70" s="222"/>
      <c r="G70" s="222" t="s">
        <v>857</v>
      </c>
      <c r="I70" s="227"/>
      <c r="J70" s="231"/>
    </row>
    <row r="71" spans="1:10" ht="18">
      <c r="A71" s="354" t="s">
        <v>669</v>
      </c>
      <c r="B71" s="222">
        <v>1.8</v>
      </c>
      <c r="C71" s="222" t="s">
        <v>670</v>
      </c>
      <c r="D71" s="222"/>
      <c r="E71" s="222" t="s">
        <v>670</v>
      </c>
      <c r="F71" s="222"/>
      <c r="G71" s="356" t="s">
        <v>857</v>
      </c>
      <c r="I71" s="227"/>
      <c r="J71" s="231"/>
    </row>
    <row r="72" spans="1:10" ht="18">
      <c r="A72" s="355"/>
      <c r="B72" s="222">
        <v>0</v>
      </c>
      <c r="C72" s="222" t="s">
        <v>671</v>
      </c>
      <c r="D72" s="222"/>
      <c r="E72" s="222" t="s">
        <v>671</v>
      </c>
      <c r="F72" s="222"/>
      <c r="G72" s="357"/>
      <c r="I72" s="227"/>
      <c r="J72" s="231"/>
    </row>
    <row r="73" spans="1:10" ht="18">
      <c r="I73" s="227"/>
      <c r="J73" s="228"/>
    </row>
    <row r="74" spans="1:10" ht="18">
      <c r="I74" s="227"/>
      <c r="J74" s="228"/>
    </row>
    <row r="75" spans="1:10" ht="18">
      <c r="I75" s="227"/>
      <c r="J75" s="228"/>
    </row>
    <row r="76" spans="1:10" ht="18">
      <c r="I76" s="227"/>
      <c r="J76" s="228"/>
    </row>
    <row r="77" spans="1:10" ht="18">
      <c r="I77" s="227"/>
      <c r="J77" s="231"/>
    </row>
    <row r="78" spans="1:10" ht="18">
      <c r="I78" s="227"/>
      <c r="J78" s="231"/>
    </row>
    <row r="79" spans="1:10" ht="18">
      <c r="I79" s="227"/>
      <c r="J79" s="228"/>
    </row>
    <row r="80" spans="1:10" ht="18">
      <c r="I80" s="227"/>
      <c r="J80" s="228"/>
    </row>
  </sheetData>
  <mergeCells count="22"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5:A67"/>
    <mergeCell ref="G65:G67"/>
    <mergeCell ref="A68:A69"/>
    <mergeCell ref="G68:G69"/>
    <mergeCell ref="A71:A72"/>
    <mergeCell ref="G71:G7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77" t="s">
        <v>103</v>
      </c>
    </row>
    <row r="6" spans="1:2">
      <c r="A6" s="75" t="s">
        <v>105</v>
      </c>
    </row>
    <row r="7" spans="1:2">
      <c r="A7" t="s">
        <v>104</v>
      </c>
      <c r="B7" t="s">
        <v>111</v>
      </c>
    </row>
    <row r="9" spans="1:2">
      <c r="A9" s="74" t="s">
        <v>94</v>
      </c>
    </row>
    <row r="10" spans="1:2">
      <c r="A10" t="s">
        <v>106</v>
      </c>
      <c r="B10" t="s">
        <v>110</v>
      </c>
    </row>
    <row r="11" spans="1:2">
      <c r="A11" t="s">
        <v>107</v>
      </c>
      <c r="B11" t="s">
        <v>109</v>
      </c>
    </row>
    <row r="12" spans="1:2">
      <c r="A12" t="s">
        <v>108</v>
      </c>
      <c r="B12" s="78">
        <v>43239</v>
      </c>
    </row>
    <row r="15" spans="1:2" ht="13.5" customHeight="1">
      <c r="A15" s="74" t="s">
        <v>95</v>
      </c>
    </row>
    <row r="16" spans="1:2">
      <c r="A16" t="s">
        <v>112</v>
      </c>
      <c r="B16" t="s">
        <v>113</v>
      </c>
    </row>
    <row r="17" spans="1:2">
      <c r="A17" t="s">
        <v>114</v>
      </c>
      <c r="B17" t="s">
        <v>115</v>
      </c>
    </row>
    <row r="18" spans="1:2">
      <c r="B18" s="78"/>
    </row>
    <row r="19" spans="1:2" ht="13.5" customHeight="1">
      <c r="A19" s="74" t="s">
        <v>116</v>
      </c>
    </row>
    <row r="20" spans="1:2">
      <c r="A20" t="s">
        <v>117</v>
      </c>
      <c r="B20" t="s">
        <v>121</v>
      </c>
    </row>
    <row r="21" spans="1:2">
      <c r="A21" t="s">
        <v>118</v>
      </c>
      <c r="B21" t="s">
        <v>122</v>
      </c>
    </row>
    <row r="22" spans="1:2">
      <c r="A22" t="s">
        <v>119</v>
      </c>
      <c r="B22" t="s">
        <v>123</v>
      </c>
    </row>
    <row r="23" spans="1:2">
      <c r="A23" t="s">
        <v>120</v>
      </c>
      <c r="B23" t="s">
        <v>123</v>
      </c>
    </row>
    <row r="25" spans="1:2" ht="13.5" customHeight="1">
      <c r="A25" s="74" t="s">
        <v>124</v>
      </c>
    </row>
    <row r="26" spans="1:2">
      <c r="A26" t="s">
        <v>125</v>
      </c>
    </row>
    <row r="27" spans="1:2">
      <c r="A27" t="s">
        <v>126</v>
      </c>
    </row>
    <row r="29" spans="1:2" ht="13.5" customHeight="1">
      <c r="A29" s="74" t="s">
        <v>127</v>
      </c>
    </row>
    <row r="30" spans="1:2">
      <c r="A30" t="s">
        <v>128</v>
      </c>
    </row>
    <row r="31" spans="1:2">
      <c r="A31" t="s">
        <v>129</v>
      </c>
    </row>
    <row r="32" spans="1:2">
      <c r="A32" t="s">
        <v>130</v>
      </c>
    </row>
    <row r="34" spans="1:1">
      <c r="A34" s="74" t="s">
        <v>131</v>
      </c>
    </row>
    <row r="35" spans="1:1">
      <c r="A35" t="s">
        <v>132</v>
      </c>
    </row>
    <row r="36" spans="1:1">
      <c r="A36" t="s">
        <v>133</v>
      </c>
    </row>
    <row r="37" spans="1:1">
      <c r="A37" t="s">
        <v>134</v>
      </c>
    </row>
    <row r="39" spans="1:1">
      <c r="A39" s="74" t="s">
        <v>135</v>
      </c>
    </row>
    <row r="40" spans="1:1">
      <c r="A40" t="s">
        <v>136</v>
      </c>
    </row>
    <row r="41" spans="1:1">
      <c r="A41" t="s">
        <v>137</v>
      </c>
    </row>
    <row r="43" spans="1:1">
      <c r="A43" t="s">
        <v>138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5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188" customWidth="1"/>
  </cols>
  <sheetData>
    <row r="11" spans="6:36">
      <c r="F11" s="47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9"/>
    </row>
    <row r="12" spans="6:36" ht="14.25" customHeight="1">
      <c r="F12" s="50"/>
      <c r="I12" s="51"/>
      <c r="J12" s="51"/>
      <c r="K12" s="51"/>
      <c r="L12" s="51"/>
      <c r="M12" s="51"/>
      <c r="N12" s="51"/>
      <c r="O12" s="51"/>
      <c r="R12" s="158"/>
      <c r="S12" s="158"/>
      <c r="T12" s="158"/>
      <c r="U12" s="51"/>
      <c r="V12" s="51"/>
      <c r="W12" s="51"/>
      <c r="X12" s="51"/>
      <c r="Y12" s="124"/>
      <c r="Z12" s="51"/>
      <c r="AA12" s="51"/>
      <c r="AB12" s="51"/>
      <c r="AC12" s="51"/>
      <c r="AD12" s="51"/>
      <c r="AE12" s="51"/>
      <c r="AF12" s="189"/>
      <c r="AG12" s="51"/>
      <c r="AH12" s="51"/>
      <c r="AI12" s="51"/>
      <c r="AJ12" s="52"/>
    </row>
    <row r="13" spans="6:36">
      <c r="F13" s="50"/>
      <c r="G13" s="51"/>
      <c r="H13" s="51"/>
      <c r="I13" s="51"/>
      <c r="J13" s="51"/>
      <c r="K13" s="51"/>
      <c r="L13" s="51"/>
      <c r="M13" s="51"/>
      <c r="N13" s="51"/>
      <c r="O13" s="51"/>
      <c r="R13" s="158"/>
      <c r="S13" s="158"/>
      <c r="T13" s="158"/>
      <c r="U13" s="51"/>
      <c r="V13" s="53"/>
      <c r="W13" s="51"/>
      <c r="X13" s="51"/>
      <c r="Y13" s="124"/>
      <c r="Z13" s="51"/>
      <c r="AA13" s="51"/>
      <c r="AB13" s="51"/>
      <c r="AC13" s="51"/>
      <c r="AD13" s="51"/>
      <c r="AE13" s="51"/>
      <c r="AF13" s="189"/>
      <c r="AG13" s="51"/>
      <c r="AH13" s="51"/>
      <c r="AI13" s="51"/>
      <c r="AJ13" s="52"/>
    </row>
    <row r="14" spans="6:36" ht="14.25" customHeight="1">
      <c r="F14" s="50"/>
      <c r="G14" s="51"/>
      <c r="H14" s="51"/>
      <c r="I14" s="51"/>
      <c r="J14" s="51"/>
      <c r="K14" s="51"/>
      <c r="L14" s="51"/>
      <c r="M14" s="51"/>
      <c r="N14" s="51"/>
      <c r="O14" s="51"/>
      <c r="R14" s="158"/>
      <c r="S14" s="158"/>
      <c r="T14" s="158"/>
      <c r="U14" s="51"/>
      <c r="V14" s="51"/>
      <c r="W14" s="51"/>
      <c r="X14" s="51"/>
      <c r="Y14" s="124"/>
      <c r="Z14" s="51"/>
      <c r="AA14" s="51"/>
      <c r="AB14" s="51"/>
      <c r="AC14" s="51"/>
      <c r="AD14" s="51"/>
      <c r="AE14" s="51"/>
      <c r="AF14" s="189"/>
      <c r="AG14" s="51"/>
      <c r="AH14" s="51"/>
      <c r="AI14" s="51"/>
      <c r="AJ14" s="52"/>
    </row>
    <row r="15" spans="6:36">
      <c r="F15" s="50"/>
      <c r="G15" s="51"/>
      <c r="H15" s="51"/>
      <c r="I15" s="51"/>
      <c r="J15" s="51"/>
      <c r="K15" s="51"/>
      <c r="L15" s="51"/>
      <c r="M15" s="51"/>
      <c r="N15" s="51"/>
      <c r="O15" s="51"/>
      <c r="R15" s="51"/>
      <c r="S15" s="51"/>
      <c r="T15" s="51"/>
      <c r="U15" s="124"/>
      <c r="V15" s="51"/>
      <c r="W15" s="51"/>
      <c r="X15" s="51"/>
      <c r="Y15" s="124"/>
      <c r="Z15" s="51"/>
      <c r="AA15" s="51"/>
      <c r="AB15" s="51"/>
      <c r="AC15" s="51"/>
      <c r="AD15" s="51"/>
      <c r="AE15" s="51"/>
      <c r="AF15" s="189"/>
      <c r="AG15" s="51"/>
      <c r="AH15" s="51"/>
      <c r="AI15" s="51"/>
      <c r="AJ15" s="52"/>
    </row>
    <row r="16" spans="6:36">
      <c r="F16" s="50"/>
      <c r="G16" s="51"/>
      <c r="H16" s="51"/>
      <c r="I16" s="51"/>
      <c r="J16" s="51"/>
      <c r="K16" s="51"/>
      <c r="L16" s="51"/>
      <c r="M16" s="51"/>
      <c r="N16" s="51"/>
      <c r="O16" s="51"/>
      <c r="R16" s="51"/>
      <c r="S16" s="51"/>
      <c r="T16" s="51"/>
      <c r="U16" s="124"/>
      <c r="V16" s="51"/>
      <c r="W16" s="51"/>
      <c r="X16" s="51"/>
      <c r="Y16" s="124"/>
      <c r="Z16" s="51"/>
      <c r="AA16" s="51"/>
      <c r="AB16" s="51"/>
      <c r="AC16" s="51"/>
      <c r="AD16" s="51"/>
      <c r="AE16" s="51"/>
      <c r="AF16" s="189"/>
      <c r="AG16" s="51"/>
      <c r="AH16" s="51"/>
      <c r="AI16" s="51"/>
      <c r="AJ16" s="52"/>
    </row>
    <row r="17" spans="6:36">
      <c r="F17" s="50"/>
      <c r="G17" s="51"/>
      <c r="H17" s="51"/>
      <c r="I17" s="51"/>
      <c r="J17" s="51"/>
      <c r="N17" s="51"/>
      <c r="O17" s="381" t="s">
        <v>569</v>
      </c>
      <c r="P17" s="382"/>
      <c r="Q17" s="368" t="s">
        <v>627</v>
      </c>
      <c r="R17" s="369"/>
      <c r="S17" s="369"/>
      <c r="T17" s="370"/>
      <c r="U17" s="375" t="s">
        <v>524</v>
      </c>
      <c r="V17" s="376"/>
      <c r="W17" s="377"/>
      <c r="X17" s="377"/>
      <c r="Y17" s="377"/>
      <c r="Z17" s="378"/>
      <c r="AA17" s="51"/>
      <c r="AC17" s="204"/>
      <c r="AD17" s="203"/>
      <c r="AE17" s="203"/>
      <c r="AF17" s="189"/>
      <c r="AG17" s="51"/>
      <c r="AH17" s="51"/>
      <c r="AI17" s="51"/>
      <c r="AJ17" s="52"/>
    </row>
    <row r="18" spans="6:36">
      <c r="F18" s="50"/>
      <c r="G18" s="51"/>
      <c r="H18" s="51"/>
      <c r="I18" s="51"/>
      <c r="J18" s="51"/>
      <c r="N18" s="51"/>
      <c r="O18" s="381" t="s">
        <v>170</v>
      </c>
      <c r="P18" s="382"/>
      <c r="Q18" s="368" t="s">
        <v>628</v>
      </c>
      <c r="R18" s="369"/>
      <c r="S18" s="369"/>
      <c r="T18" s="370"/>
      <c r="U18" s="384" t="s">
        <v>580</v>
      </c>
      <c r="V18" s="385"/>
      <c r="W18" s="385" t="s">
        <v>160</v>
      </c>
      <c r="X18" s="385"/>
      <c r="Y18" s="385"/>
      <c r="Z18" s="386"/>
      <c r="AA18" s="51"/>
      <c r="AC18" s="204"/>
      <c r="AD18" s="203"/>
      <c r="AE18" s="203"/>
      <c r="AF18" s="189"/>
      <c r="AG18" s="51"/>
      <c r="AH18" s="51"/>
      <c r="AI18" s="51"/>
      <c r="AJ18" s="52"/>
    </row>
    <row r="19" spans="6:36">
      <c r="F19" s="50"/>
      <c r="G19" s="51"/>
      <c r="H19" s="51"/>
      <c r="I19" s="51"/>
      <c r="J19" s="51"/>
      <c r="N19" s="51"/>
      <c r="O19" s="381">
        <v>22</v>
      </c>
      <c r="P19" s="382"/>
      <c r="Q19" s="368">
        <v>6</v>
      </c>
      <c r="R19" s="369"/>
      <c r="S19" s="369"/>
      <c r="T19" s="370"/>
      <c r="U19" s="375">
        <v>32</v>
      </c>
      <c r="V19" s="376"/>
      <c r="W19" s="376"/>
      <c r="X19" s="376"/>
      <c r="Y19" s="376"/>
      <c r="Z19" s="379"/>
      <c r="AA19" s="51"/>
      <c r="AC19" s="204"/>
      <c r="AD19" s="203"/>
      <c r="AE19" s="203"/>
      <c r="AF19" s="189"/>
      <c r="AG19" s="51"/>
      <c r="AH19" s="51"/>
      <c r="AI19" s="51"/>
      <c r="AJ19" s="52"/>
    </row>
    <row r="20" spans="6:36" s="188" customFormat="1">
      <c r="F20" s="50"/>
      <c r="G20" s="189"/>
      <c r="H20" s="189"/>
      <c r="I20" s="189"/>
      <c r="J20" s="189"/>
      <c r="N20" s="189"/>
      <c r="O20" s="381"/>
      <c r="P20" s="382"/>
      <c r="Q20" s="368" t="s">
        <v>629</v>
      </c>
      <c r="R20" s="369"/>
      <c r="S20" s="369"/>
      <c r="T20" s="370"/>
      <c r="U20" s="375"/>
      <c r="V20" s="376"/>
      <c r="W20" s="376"/>
      <c r="X20" s="376"/>
      <c r="Y20" s="376"/>
      <c r="Z20" s="379"/>
      <c r="AA20" s="189"/>
      <c r="AC20" s="204"/>
      <c r="AD20" s="203"/>
      <c r="AE20" s="203"/>
      <c r="AF20" s="189"/>
      <c r="AG20" s="189"/>
      <c r="AH20" s="189"/>
      <c r="AI20" s="189"/>
      <c r="AJ20" s="52"/>
    </row>
    <row r="21" spans="6:36" ht="14.25" customHeight="1">
      <c r="F21" s="50"/>
      <c r="G21" s="51"/>
      <c r="H21" s="51"/>
      <c r="I21" s="51"/>
      <c r="J21" s="51"/>
      <c r="N21" s="51"/>
      <c r="O21" s="381"/>
      <c r="P21" s="382"/>
      <c r="Q21" s="368" t="s">
        <v>630</v>
      </c>
      <c r="R21" s="369"/>
      <c r="S21" s="369"/>
      <c r="T21" s="370"/>
      <c r="U21" s="375"/>
      <c r="V21" s="376"/>
      <c r="W21" s="377"/>
      <c r="X21" s="377"/>
      <c r="Y21" s="377"/>
      <c r="Z21" s="378"/>
      <c r="AA21" s="51"/>
      <c r="AC21" s="204"/>
      <c r="AD21" s="203"/>
      <c r="AE21" s="203"/>
      <c r="AF21" s="189"/>
      <c r="AG21" s="51"/>
      <c r="AH21" s="51"/>
      <c r="AI21" s="51"/>
      <c r="AJ21" s="52"/>
    </row>
    <row r="22" spans="6:36">
      <c r="F22" s="50"/>
      <c r="G22" s="51"/>
      <c r="H22" s="51"/>
      <c r="I22" s="51"/>
      <c r="J22" s="51"/>
      <c r="N22" s="51"/>
      <c r="O22" s="381"/>
      <c r="P22" s="382"/>
      <c r="Q22" s="368" t="s">
        <v>631</v>
      </c>
      <c r="R22" s="369"/>
      <c r="S22" s="369"/>
      <c r="T22" s="370"/>
      <c r="U22" s="375"/>
      <c r="V22" s="376"/>
      <c r="W22" s="377"/>
      <c r="X22" s="377"/>
      <c r="Y22" s="377"/>
      <c r="Z22" s="378"/>
      <c r="AA22" s="51"/>
      <c r="AC22" s="204"/>
      <c r="AD22" s="203"/>
      <c r="AE22" s="203"/>
      <c r="AF22" s="189"/>
      <c r="AG22" s="51"/>
      <c r="AH22" s="51"/>
      <c r="AI22" s="51"/>
      <c r="AJ22" s="52"/>
    </row>
    <row r="23" spans="6:36">
      <c r="F23" s="50"/>
      <c r="G23" s="51"/>
      <c r="H23" s="51"/>
      <c r="I23" s="51"/>
      <c r="J23" s="51"/>
      <c r="N23" s="51"/>
      <c r="O23" s="381" t="s">
        <v>573</v>
      </c>
      <c r="P23" s="382"/>
      <c r="Q23" s="368" t="s">
        <v>632</v>
      </c>
      <c r="R23" s="369"/>
      <c r="S23" s="369"/>
      <c r="T23" s="370"/>
      <c r="U23" s="375"/>
      <c r="V23" s="376"/>
      <c r="W23" s="377"/>
      <c r="X23" s="377"/>
      <c r="Y23" s="377"/>
      <c r="Z23" s="378" t="s">
        <v>172</v>
      </c>
      <c r="AA23" s="51"/>
      <c r="AC23" s="204"/>
      <c r="AD23" s="203"/>
      <c r="AE23" s="203"/>
      <c r="AF23" s="189"/>
      <c r="AG23" s="51"/>
      <c r="AH23" s="51"/>
      <c r="AI23" s="51"/>
      <c r="AJ23" s="52"/>
    </row>
    <row r="24" spans="6:36">
      <c r="F24" s="50"/>
      <c r="G24" s="51"/>
      <c r="H24" s="51"/>
      <c r="I24" s="51"/>
      <c r="J24" s="51"/>
      <c r="N24" s="51"/>
      <c r="O24" s="381" t="s">
        <v>570</v>
      </c>
      <c r="P24" s="382"/>
      <c r="Q24" s="368" t="s">
        <v>611</v>
      </c>
      <c r="R24" s="369"/>
      <c r="S24" s="369"/>
      <c r="T24" s="370"/>
      <c r="U24" s="375" t="s">
        <v>524</v>
      </c>
      <c r="V24" s="376"/>
      <c r="W24" s="377" t="s">
        <v>400</v>
      </c>
      <c r="X24" s="377"/>
      <c r="Y24" s="377"/>
      <c r="Z24" s="378" t="s">
        <v>419</v>
      </c>
      <c r="AA24" s="51"/>
      <c r="AC24" s="204"/>
      <c r="AD24" s="203"/>
      <c r="AE24" s="203"/>
      <c r="AF24" s="189"/>
      <c r="AG24" s="51"/>
      <c r="AH24" s="51"/>
      <c r="AI24" s="51"/>
      <c r="AJ24" s="52"/>
    </row>
    <row r="25" spans="6:36">
      <c r="F25" s="50"/>
      <c r="G25" s="45" t="s">
        <v>161</v>
      </c>
      <c r="H25" s="45" t="s">
        <v>162</v>
      </c>
      <c r="I25" s="46" t="s">
        <v>163</v>
      </c>
      <c r="J25" s="46" t="s">
        <v>164</v>
      </c>
      <c r="K25" s="46" t="s">
        <v>165</v>
      </c>
      <c r="L25" s="46" t="s">
        <v>166</v>
      </c>
      <c r="M25" s="46" t="s">
        <v>167</v>
      </c>
      <c r="N25" s="51"/>
      <c r="O25" s="383" t="s">
        <v>47</v>
      </c>
      <c r="P25" s="383"/>
      <c r="Q25" s="383"/>
      <c r="R25" s="383"/>
      <c r="S25" s="383"/>
      <c r="T25" s="383"/>
      <c r="U25" s="383"/>
      <c r="V25" s="383"/>
      <c r="W25" s="383"/>
      <c r="X25" s="383"/>
      <c r="Y25" s="383"/>
      <c r="Z25" s="383"/>
      <c r="AA25" s="51"/>
      <c r="AB25" s="51"/>
      <c r="AC25" s="51"/>
      <c r="AD25" s="51"/>
      <c r="AE25" s="51"/>
      <c r="AF25" s="189"/>
      <c r="AG25" s="51"/>
      <c r="AH25" s="51"/>
      <c r="AI25" s="51"/>
      <c r="AJ25" s="52"/>
    </row>
    <row r="26" spans="6:36" ht="14.25" customHeight="1">
      <c r="F26" s="50"/>
      <c r="G26" s="396" t="s">
        <v>568</v>
      </c>
      <c r="H26" s="387" t="s">
        <v>174</v>
      </c>
      <c r="I26" s="387">
        <v>62</v>
      </c>
      <c r="J26" s="179"/>
      <c r="K26" s="179"/>
      <c r="L26" s="179"/>
      <c r="M26" s="399" t="s">
        <v>176</v>
      </c>
      <c r="N26" s="402" t="s">
        <v>168</v>
      </c>
      <c r="O26" s="51"/>
      <c r="P26" s="51"/>
      <c r="Q26" s="51"/>
      <c r="R26" s="51"/>
      <c r="S26" s="51"/>
      <c r="T26" s="53">
        <f>SUM(O19:Z19)</f>
        <v>60</v>
      </c>
      <c r="U26" s="51"/>
      <c r="V26" s="51"/>
      <c r="W26" s="51"/>
      <c r="X26" s="51"/>
      <c r="Y26" s="124"/>
      <c r="Z26" s="51"/>
      <c r="AA26" s="402" t="s">
        <v>169</v>
      </c>
      <c r="AB26" s="374" t="s">
        <v>171</v>
      </c>
      <c r="AC26" s="374" t="s">
        <v>617</v>
      </c>
      <c r="AD26" s="374" t="s">
        <v>609</v>
      </c>
      <c r="AE26" s="374" t="s">
        <v>610</v>
      </c>
      <c r="AF26" s="374"/>
      <c r="AG26" s="374">
        <v>6</v>
      </c>
      <c r="AH26" s="374" t="s">
        <v>603</v>
      </c>
      <c r="AI26" s="374" t="s">
        <v>604</v>
      </c>
      <c r="AJ26" s="55"/>
    </row>
    <row r="27" spans="6:36">
      <c r="F27" s="50"/>
      <c r="G27" s="397"/>
      <c r="H27" s="388"/>
      <c r="I27" s="388"/>
      <c r="J27" s="179"/>
      <c r="K27" s="179"/>
      <c r="L27" s="179"/>
      <c r="M27" s="400"/>
      <c r="N27" s="402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124"/>
      <c r="Z27" s="51"/>
      <c r="AA27" s="402"/>
      <c r="AB27" s="374"/>
      <c r="AC27" s="374"/>
      <c r="AD27" s="374"/>
      <c r="AE27" s="374"/>
      <c r="AF27" s="374"/>
      <c r="AG27" s="374"/>
      <c r="AH27" s="374" t="s">
        <v>170</v>
      </c>
      <c r="AI27" s="374" t="s">
        <v>177</v>
      </c>
      <c r="AJ27" s="55"/>
    </row>
    <row r="28" spans="6:36">
      <c r="F28" s="50"/>
      <c r="G28" s="397"/>
      <c r="H28" s="388"/>
      <c r="I28" s="388"/>
      <c r="J28" s="179"/>
      <c r="K28" s="179"/>
      <c r="L28" s="179"/>
      <c r="M28" s="400"/>
      <c r="N28" s="402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124"/>
      <c r="Z28" s="51"/>
      <c r="AA28" s="402"/>
      <c r="AB28" s="374"/>
      <c r="AC28" s="374"/>
      <c r="AD28" s="374"/>
      <c r="AE28" s="374"/>
      <c r="AF28" s="374"/>
      <c r="AG28" s="374"/>
      <c r="AH28" s="374"/>
      <c r="AI28" s="374"/>
      <c r="AJ28" s="55"/>
    </row>
    <row r="29" spans="6:36">
      <c r="F29" s="50"/>
      <c r="G29" s="397"/>
      <c r="H29" s="388"/>
      <c r="I29" s="388"/>
      <c r="J29" s="179"/>
      <c r="K29" s="179"/>
      <c r="L29" s="179"/>
      <c r="M29" s="400"/>
      <c r="N29" s="402"/>
      <c r="O29" s="51"/>
      <c r="P29" s="51"/>
      <c r="Q29" s="51"/>
      <c r="R29" s="51"/>
      <c r="S29" s="51"/>
      <c r="T29" s="181"/>
      <c r="U29" s="181"/>
      <c r="V29" s="51"/>
      <c r="W29" s="51"/>
      <c r="X29" s="51"/>
      <c r="Y29" s="124"/>
      <c r="Z29" s="51"/>
      <c r="AA29" s="402"/>
      <c r="AB29" s="374"/>
      <c r="AC29" s="374"/>
      <c r="AD29" s="374"/>
      <c r="AE29" s="374"/>
      <c r="AF29" s="374"/>
      <c r="AG29" s="374"/>
      <c r="AH29" s="374"/>
      <c r="AI29" s="374"/>
      <c r="AJ29" s="55"/>
    </row>
    <row r="30" spans="6:36" ht="14.25" customHeight="1">
      <c r="F30" s="50"/>
      <c r="G30" s="397"/>
      <c r="H30" s="388"/>
      <c r="I30" s="388"/>
      <c r="J30" s="179"/>
      <c r="K30" s="179"/>
      <c r="L30" s="179"/>
      <c r="M30" s="400"/>
      <c r="N30" s="402"/>
      <c r="O30" s="51"/>
      <c r="P30" s="51"/>
      <c r="Q30" s="51"/>
      <c r="R30" s="51"/>
      <c r="S30" s="51"/>
      <c r="T30" s="181"/>
      <c r="U30" s="181"/>
      <c r="V30" s="51"/>
      <c r="W30" s="51"/>
      <c r="X30" s="51"/>
      <c r="Y30" s="124"/>
      <c r="Z30" s="51"/>
      <c r="AA30" s="402"/>
      <c r="AB30" s="374"/>
      <c r="AC30" s="374"/>
      <c r="AD30" s="374"/>
      <c r="AE30" s="374"/>
      <c r="AF30" s="374"/>
      <c r="AG30" s="374"/>
      <c r="AH30" s="374"/>
      <c r="AI30" s="374"/>
      <c r="AJ30" s="52"/>
    </row>
    <row r="31" spans="6:36">
      <c r="F31" s="50"/>
      <c r="G31" s="397"/>
      <c r="H31" s="388"/>
      <c r="I31" s="388"/>
      <c r="J31" s="179"/>
      <c r="K31" s="179"/>
      <c r="L31" s="179"/>
      <c r="M31" s="400"/>
      <c r="N31" s="402"/>
      <c r="O31" s="51"/>
      <c r="P31" s="51"/>
      <c r="Q31" s="51"/>
      <c r="R31" s="51"/>
      <c r="S31" s="51"/>
      <c r="T31" s="184"/>
      <c r="U31" s="51"/>
      <c r="V31" s="51"/>
      <c r="W31" s="51"/>
      <c r="X31" s="51"/>
      <c r="Y31" s="124"/>
      <c r="Z31" s="51"/>
      <c r="AA31" s="402"/>
      <c r="AB31" s="374"/>
      <c r="AC31" s="374"/>
      <c r="AD31" s="374"/>
      <c r="AE31" s="374"/>
      <c r="AF31" s="374"/>
      <c r="AG31" s="374"/>
      <c r="AH31" s="374"/>
      <c r="AI31" s="374"/>
      <c r="AJ31" s="52"/>
    </row>
    <row r="32" spans="6:36" ht="14.25" customHeight="1">
      <c r="F32" s="50"/>
      <c r="G32" s="397"/>
      <c r="H32" s="388"/>
      <c r="I32" s="388"/>
      <c r="J32" s="179"/>
      <c r="K32" s="179"/>
      <c r="L32" s="179"/>
      <c r="M32" s="400"/>
      <c r="N32" s="402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124"/>
      <c r="Z32" s="51"/>
      <c r="AA32" s="402"/>
      <c r="AB32" s="371" t="s">
        <v>599</v>
      </c>
      <c r="AC32" s="371" t="s">
        <v>634</v>
      </c>
      <c r="AD32" s="371"/>
      <c r="AE32" s="371"/>
      <c r="AF32" s="371"/>
      <c r="AG32" s="371">
        <v>28</v>
      </c>
      <c r="AH32" s="371" t="s">
        <v>635</v>
      </c>
      <c r="AI32" s="371" t="s">
        <v>627</v>
      </c>
      <c r="AJ32" s="52"/>
    </row>
    <row r="33" spans="6:36">
      <c r="F33" s="50"/>
      <c r="G33" s="397"/>
      <c r="H33" s="388"/>
      <c r="I33" s="388"/>
      <c r="J33" s="179"/>
      <c r="K33" s="179"/>
      <c r="L33" s="179"/>
      <c r="M33" s="400"/>
      <c r="N33" s="402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124"/>
      <c r="Z33" s="51"/>
      <c r="AA33" s="402"/>
      <c r="AB33" s="372"/>
      <c r="AC33" s="372"/>
      <c r="AD33" s="372"/>
      <c r="AE33" s="372"/>
      <c r="AF33" s="372"/>
      <c r="AG33" s="372"/>
      <c r="AH33" s="372" t="s">
        <v>633</v>
      </c>
      <c r="AI33" s="372" t="s">
        <v>158</v>
      </c>
      <c r="AJ33" s="52"/>
    </row>
    <row r="34" spans="6:36" ht="14.25" customHeight="1">
      <c r="F34" s="50"/>
      <c r="G34" s="397"/>
      <c r="H34" s="388"/>
      <c r="I34" s="388"/>
      <c r="J34" s="179"/>
      <c r="K34" s="179"/>
      <c r="L34" s="179"/>
      <c r="M34" s="400"/>
      <c r="N34" s="402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124"/>
      <c r="Z34" s="51"/>
      <c r="AA34" s="402"/>
      <c r="AB34" s="372"/>
      <c r="AC34" s="372"/>
      <c r="AD34" s="372"/>
      <c r="AE34" s="372"/>
      <c r="AF34" s="372"/>
      <c r="AG34" s="372"/>
      <c r="AH34" s="372"/>
      <c r="AI34" s="372"/>
      <c r="AJ34" s="52"/>
    </row>
    <row r="35" spans="6:36" ht="12.75" customHeight="1">
      <c r="F35" s="50"/>
      <c r="G35" s="397"/>
      <c r="H35" s="388"/>
      <c r="I35" s="388"/>
      <c r="J35" s="179"/>
      <c r="K35" s="179"/>
      <c r="L35" s="179"/>
      <c r="M35" s="400"/>
      <c r="N35" s="402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124"/>
      <c r="Z35" s="51"/>
      <c r="AA35" s="402"/>
      <c r="AB35" s="372"/>
      <c r="AC35" s="372"/>
      <c r="AD35" s="372"/>
      <c r="AE35" s="372"/>
      <c r="AF35" s="372"/>
      <c r="AG35" s="372"/>
      <c r="AH35" s="372"/>
      <c r="AI35" s="372"/>
      <c r="AJ35" s="52"/>
    </row>
    <row r="36" spans="6:36">
      <c r="F36" s="54"/>
      <c r="G36" s="397"/>
      <c r="H36" s="388"/>
      <c r="I36" s="388"/>
      <c r="J36" s="179"/>
      <c r="K36" s="179"/>
      <c r="L36" s="179"/>
      <c r="M36" s="400"/>
      <c r="N36" s="402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124"/>
      <c r="Z36" s="51"/>
      <c r="AA36" s="402"/>
      <c r="AB36" s="372"/>
      <c r="AC36" s="372"/>
      <c r="AD36" s="372"/>
      <c r="AE36" s="372"/>
      <c r="AF36" s="372"/>
      <c r="AG36" s="372"/>
      <c r="AH36" s="372"/>
      <c r="AI36" s="372"/>
      <c r="AJ36" s="52"/>
    </row>
    <row r="37" spans="6:36" ht="14.25" customHeight="1">
      <c r="F37" s="50"/>
      <c r="G37" s="397"/>
      <c r="H37" s="388"/>
      <c r="I37" s="388"/>
      <c r="J37" s="179"/>
      <c r="K37" s="179"/>
      <c r="L37" s="179"/>
      <c r="M37" s="400"/>
      <c r="N37" s="402"/>
      <c r="O37" s="51"/>
      <c r="T37" s="51"/>
      <c r="U37" s="51"/>
      <c r="V37" s="51"/>
      <c r="W37" s="51"/>
      <c r="X37" s="51"/>
      <c r="Y37" s="124"/>
      <c r="Z37" s="51"/>
      <c r="AA37" s="402"/>
      <c r="AB37" s="372"/>
      <c r="AC37" s="372"/>
      <c r="AD37" s="372"/>
      <c r="AE37" s="372"/>
      <c r="AF37" s="372"/>
      <c r="AG37" s="372"/>
      <c r="AH37" s="372"/>
      <c r="AI37" s="372"/>
      <c r="AJ37" s="55"/>
    </row>
    <row r="38" spans="6:36" ht="14.25" customHeight="1">
      <c r="F38" s="50"/>
      <c r="G38" s="397"/>
      <c r="H38" s="388"/>
      <c r="I38" s="388"/>
      <c r="J38" s="179"/>
      <c r="K38" s="179"/>
      <c r="L38" s="179"/>
      <c r="M38" s="400"/>
      <c r="N38" s="402"/>
      <c r="O38" s="56"/>
      <c r="V38" s="51"/>
      <c r="W38" s="51"/>
      <c r="X38" s="51"/>
      <c r="Y38" s="124"/>
      <c r="Z38" s="51"/>
      <c r="AA38" s="402"/>
      <c r="AB38" s="372"/>
      <c r="AC38" s="372"/>
      <c r="AD38" s="372"/>
      <c r="AE38" s="372"/>
      <c r="AF38" s="372"/>
      <c r="AG38" s="372"/>
      <c r="AH38" s="372"/>
      <c r="AI38" s="372"/>
      <c r="AJ38" s="52"/>
    </row>
    <row r="39" spans="6:36" ht="16.5" customHeight="1">
      <c r="F39" s="50"/>
      <c r="G39" s="397"/>
      <c r="H39" s="388"/>
      <c r="I39" s="388"/>
      <c r="J39" s="179"/>
      <c r="K39" s="179"/>
      <c r="L39" s="179"/>
      <c r="M39" s="400"/>
      <c r="N39" s="402"/>
      <c r="O39" s="51"/>
      <c r="V39" s="51"/>
      <c r="W39" s="51"/>
      <c r="X39" s="51"/>
      <c r="Y39" s="124"/>
      <c r="Z39" s="51"/>
      <c r="AA39" s="402"/>
      <c r="AB39" s="372"/>
      <c r="AC39" s="372"/>
      <c r="AD39" s="372"/>
      <c r="AE39" s="372"/>
      <c r="AF39" s="372"/>
      <c r="AG39" s="372"/>
      <c r="AH39" s="372"/>
      <c r="AI39" s="372"/>
      <c r="AJ39" s="52"/>
    </row>
    <row r="40" spans="6:36" ht="14.25" customHeight="1">
      <c r="F40" s="50"/>
      <c r="G40" s="397"/>
      <c r="H40" s="388"/>
      <c r="I40" s="388"/>
      <c r="J40" s="179"/>
      <c r="K40" s="179"/>
      <c r="L40" s="179"/>
      <c r="M40" s="400"/>
      <c r="N40" s="402"/>
      <c r="O40" s="51"/>
      <c r="V40" s="51"/>
      <c r="W40" s="51"/>
      <c r="X40" s="51"/>
      <c r="Y40" s="124"/>
      <c r="Z40" s="51"/>
      <c r="AA40" s="402"/>
      <c r="AB40" s="372"/>
      <c r="AC40" s="372"/>
      <c r="AD40" s="372"/>
      <c r="AE40" s="372"/>
      <c r="AF40" s="372"/>
      <c r="AG40" s="372"/>
      <c r="AH40" s="372"/>
      <c r="AI40" s="372"/>
      <c r="AJ40" s="52"/>
    </row>
    <row r="41" spans="6:36">
      <c r="F41" s="50"/>
      <c r="G41" s="397"/>
      <c r="H41" s="388"/>
      <c r="I41" s="388"/>
      <c r="J41" s="179"/>
      <c r="K41" s="179"/>
      <c r="L41" s="179"/>
      <c r="M41" s="400"/>
      <c r="N41" s="402"/>
      <c r="O41" s="53">
        <f>SUM(I22:I61)</f>
        <v>62</v>
      </c>
      <c r="Q41" s="183"/>
      <c r="R41" s="183"/>
      <c r="T41" s="84">
        <f>SUM(T26+O41+T59+Z41)</f>
        <v>239</v>
      </c>
      <c r="V41" s="51"/>
      <c r="W41" s="51"/>
      <c r="X41" s="51"/>
      <c r="Y41" s="181"/>
      <c r="Z41" s="51">
        <f>SUM(AG22:AG65)</f>
        <v>67</v>
      </c>
      <c r="AA41" s="402"/>
      <c r="AB41" s="372"/>
      <c r="AC41" s="372"/>
      <c r="AD41" s="372"/>
      <c r="AE41" s="372"/>
      <c r="AF41" s="372"/>
      <c r="AG41" s="372"/>
      <c r="AH41" s="372"/>
      <c r="AI41" s="372"/>
      <c r="AJ41" s="52"/>
    </row>
    <row r="42" spans="6:36">
      <c r="F42" s="50"/>
      <c r="G42" s="397"/>
      <c r="H42" s="388"/>
      <c r="I42" s="388"/>
      <c r="J42" s="179"/>
      <c r="K42" s="179"/>
      <c r="L42" s="179"/>
      <c r="M42" s="400"/>
      <c r="N42" s="402"/>
      <c r="O42" s="51"/>
      <c r="P42" s="51"/>
      <c r="Q42" s="51"/>
      <c r="V42" s="51"/>
      <c r="W42" s="51"/>
      <c r="X42" s="51"/>
      <c r="Y42" s="181"/>
      <c r="Z42" s="51"/>
      <c r="AA42" s="402"/>
      <c r="AB42" s="373"/>
      <c r="AC42" s="373"/>
      <c r="AD42" s="373"/>
      <c r="AE42" s="373"/>
      <c r="AF42" s="373"/>
      <c r="AG42" s="373"/>
      <c r="AH42" s="373"/>
      <c r="AI42" s="373"/>
      <c r="AJ42" s="52"/>
    </row>
    <row r="43" spans="6:36">
      <c r="F43" s="50"/>
      <c r="G43" s="397"/>
      <c r="H43" s="388"/>
      <c r="I43" s="388"/>
      <c r="J43" s="179"/>
      <c r="K43" s="179"/>
      <c r="L43" s="179"/>
      <c r="M43" s="400"/>
      <c r="N43" s="402"/>
      <c r="O43" s="51"/>
      <c r="P43" s="51"/>
      <c r="Q43" s="51"/>
      <c r="V43" s="51"/>
      <c r="W43" s="51"/>
      <c r="X43" s="51"/>
      <c r="Y43" s="124"/>
      <c r="Z43" s="51"/>
      <c r="AA43" s="402"/>
      <c r="AB43" s="374" t="s">
        <v>620</v>
      </c>
      <c r="AC43" s="374"/>
      <c r="AD43" s="374" t="s">
        <v>618</v>
      </c>
      <c r="AE43" s="374"/>
      <c r="AF43" s="374"/>
      <c r="AG43" s="374">
        <v>19</v>
      </c>
      <c r="AH43" s="374" t="s">
        <v>603</v>
      </c>
      <c r="AI43" s="374" t="s">
        <v>604</v>
      </c>
      <c r="AJ43" s="52"/>
    </row>
    <row r="44" spans="6:36">
      <c r="F44" s="50"/>
      <c r="G44" s="397"/>
      <c r="H44" s="388"/>
      <c r="I44" s="388"/>
      <c r="J44" s="179"/>
      <c r="K44" s="179"/>
      <c r="L44" s="179"/>
      <c r="M44" s="400"/>
      <c r="N44" s="402"/>
      <c r="O44" s="51"/>
      <c r="Q44" s="159"/>
      <c r="S44" s="186"/>
      <c r="W44" s="51"/>
      <c r="X44" s="51"/>
      <c r="Y44" s="185"/>
      <c r="Z44" s="51"/>
      <c r="AA44" s="402"/>
      <c r="AB44" s="374"/>
      <c r="AC44" s="374"/>
      <c r="AD44" s="374"/>
      <c r="AE44" s="374"/>
      <c r="AF44" s="374"/>
      <c r="AG44" s="374"/>
      <c r="AH44" s="374"/>
      <c r="AI44" s="374"/>
      <c r="AJ44" s="52"/>
    </row>
    <row r="45" spans="6:36">
      <c r="F45" s="50"/>
      <c r="G45" s="397"/>
      <c r="H45" s="388"/>
      <c r="I45" s="388"/>
      <c r="J45" s="179"/>
      <c r="K45" s="179"/>
      <c r="L45" s="179"/>
      <c r="M45" s="400"/>
      <c r="N45" s="402"/>
      <c r="O45" s="51"/>
      <c r="W45" s="51"/>
      <c r="X45" s="51"/>
      <c r="Y45" s="124"/>
      <c r="Z45" s="51"/>
      <c r="AA45" s="402"/>
      <c r="AB45" s="374"/>
      <c r="AC45" s="374"/>
      <c r="AD45" s="374"/>
      <c r="AE45" s="374"/>
      <c r="AF45" s="374"/>
      <c r="AG45" s="374"/>
      <c r="AH45" s="374"/>
      <c r="AI45" s="374"/>
      <c r="AJ45" s="52"/>
    </row>
    <row r="46" spans="6:36">
      <c r="F46" s="50"/>
      <c r="G46" s="397"/>
      <c r="H46" s="388"/>
      <c r="I46" s="388"/>
      <c r="J46" s="179"/>
      <c r="K46" s="179"/>
      <c r="L46" s="179"/>
      <c r="M46" s="400"/>
      <c r="N46" s="402"/>
      <c r="O46" s="51"/>
      <c r="W46" s="51"/>
      <c r="X46" s="51"/>
      <c r="Y46" s="124"/>
      <c r="Z46" s="51"/>
      <c r="AA46" s="402"/>
      <c r="AB46" s="374"/>
      <c r="AC46" s="374"/>
      <c r="AD46" s="374"/>
      <c r="AE46" s="374"/>
      <c r="AF46" s="374"/>
      <c r="AG46" s="374"/>
      <c r="AH46" s="374"/>
      <c r="AI46" s="374"/>
      <c r="AJ46" s="52"/>
    </row>
    <row r="47" spans="6:36">
      <c r="F47" s="50"/>
      <c r="G47" s="397"/>
      <c r="H47" s="388"/>
      <c r="I47" s="388"/>
      <c r="J47" s="179"/>
      <c r="K47" s="179"/>
      <c r="L47" s="179"/>
      <c r="M47" s="400"/>
      <c r="N47" s="402"/>
      <c r="O47" s="51"/>
      <c r="P47" s="51"/>
      <c r="Q47" s="51"/>
      <c r="R47" s="51"/>
      <c r="S47" s="51"/>
      <c r="T47" s="181"/>
      <c r="U47" s="51"/>
      <c r="V47" s="51"/>
      <c r="W47" s="51"/>
      <c r="X47" s="51"/>
      <c r="Y47" s="124"/>
      <c r="Z47" s="51"/>
      <c r="AA47" s="402"/>
      <c r="AB47" s="374"/>
      <c r="AC47" s="374"/>
      <c r="AD47" s="374"/>
      <c r="AE47" s="374"/>
      <c r="AF47" s="374"/>
      <c r="AG47" s="374"/>
      <c r="AH47" s="374"/>
      <c r="AI47" s="374"/>
      <c r="AJ47" s="52"/>
    </row>
    <row r="48" spans="6:36" ht="14.25" customHeight="1">
      <c r="F48" s="50"/>
      <c r="G48" s="397"/>
      <c r="H48" s="388"/>
      <c r="I48" s="388"/>
      <c r="J48" s="179"/>
      <c r="K48" s="180"/>
      <c r="L48" s="179"/>
      <c r="M48" s="400"/>
      <c r="N48" s="402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124"/>
      <c r="Z48" s="51"/>
      <c r="AA48" s="402"/>
      <c r="AB48" s="380" t="s">
        <v>576</v>
      </c>
      <c r="AC48" s="380" t="s">
        <v>605</v>
      </c>
      <c r="AD48" s="380" t="s">
        <v>606</v>
      </c>
      <c r="AE48" s="380"/>
      <c r="AF48" s="380"/>
      <c r="AG48" s="380">
        <v>8</v>
      </c>
      <c r="AH48" s="380" t="s">
        <v>607</v>
      </c>
      <c r="AI48" s="380" t="s">
        <v>608</v>
      </c>
      <c r="AJ48" s="52"/>
    </row>
    <row r="49" spans="6:36">
      <c r="F49" s="50"/>
      <c r="G49" s="397"/>
      <c r="H49" s="388"/>
      <c r="I49" s="388"/>
      <c r="J49" s="179"/>
      <c r="K49" s="180"/>
      <c r="L49" s="180"/>
      <c r="M49" s="400"/>
      <c r="N49" s="402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124"/>
      <c r="Z49" s="51"/>
      <c r="AA49" s="402"/>
      <c r="AB49" s="380"/>
      <c r="AC49" s="380"/>
      <c r="AD49" s="380"/>
      <c r="AE49" s="380"/>
      <c r="AF49" s="380"/>
      <c r="AG49" s="380"/>
      <c r="AH49" s="380"/>
      <c r="AI49" s="380"/>
      <c r="AJ49" s="52"/>
    </row>
    <row r="50" spans="6:36">
      <c r="F50" s="50"/>
      <c r="G50" s="397"/>
      <c r="H50" s="388"/>
      <c r="I50" s="388"/>
      <c r="J50" s="179"/>
      <c r="K50" s="179"/>
      <c r="L50" s="179"/>
      <c r="M50" s="400"/>
      <c r="N50" s="83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124"/>
      <c r="Z50" s="51"/>
      <c r="AA50" s="83"/>
      <c r="AB50" s="380"/>
      <c r="AC50" s="380"/>
      <c r="AD50" s="380"/>
      <c r="AE50" s="380"/>
      <c r="AF50" s="380"/>
      <c r="AG50" s="380"/>
      <c r="AH50" s="380"/>
      <c r="AI50" s="380"/>
      <c r="AJ50" s="52"/>
    </row>
    <row r="51" spans="6:36">
      <c r="F51" s="50"/>
      <c r="G51" s="397"/>
      <c r="H51" s="388"/>
      <c r="I51" s="388"/>
      <c r="J51" s="179"/>
      <c r="K51" s="179"/>
      <c r="L51" s="180"/>
      <c r="M51" s="400"/>
      <c r="N51" s="83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124"/>
      <c r="Z51" s="51"/>
      <c r="AA51" s="83"/>
      <c r="AB51" s="380"/>
      <c r="AC51" s="380"/>
      <c r="AD51" s="380"/>
      <c r="AE51" s="380"/>
      <c r="AF51" s="380"/>
      <c r="AG51" s="380"/>
      <c r="AH51" s="380"/>
      <c r="AI51" s="380"/>
      <c r="AJ51" s="52"/>
    </row>
    <row r="52" spans="6:36">
      <c r="F52" s="50"/>
      <c r="G52" s="397"/>
      <c r="H52" s="388"/>
      <c r="I52" s="388"/>
      <c r="J52" s="179"/>
      <c r="K52" s="179"/>
      <c r="L52" s="180"/>
      <c r="M52" s="400"/>
      <c r="N52" s="83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124"/>
      <c r="Z52" s="51"/>
      <c r="AA52" s="83"/>
      <c r="AB52" s="380"/>
      <c r="AC52" s="380"/>
      <c r="AD52" s="380"/>
      <c r="AE52" s="380"/>
      <c r="AF52" s="380"/>
      <c r="AG52" s="380"/>
      <c r="AH52" s="380"/>
      <c r="AI52" s="380"/>
      <c r="AJ52" s="52"/>
    </row>
    <row r="53" spans="6:36">
      <c r="F53" s="50"/>
      <c r="G53" s="397"/>
      <c r="H53" s="388"/>
      <c r="I53" s="388"/>
      <c r="J53" s="179"/>
      <c r="K53" s="179"/>
      <c r="L53" s="180"/>
      <c r="M53" s="400"/>
      <c r="N53" s="83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124"/>
      <c r="Z53" s="51"/>
      <c r="AA53" s="83"/>
      <c r="AB53" s="380"/>
      <c r="AC53" s="380"/>
      <c r="AD53" s="380"/>
      <c r="AE53" s="380"/>
      <c r="AF53" s="380"/>
      <c r="AG53" s="380"/>
      <c r="AH53" s="380"/>
      <c r="AI53" s="380"/>
      <c r="AJ53" s="52"/>
    </row>
    <row r="54" spans="6:36">
      <c r="F54" s="50"/>
      <c r="G54" s="397"/>
      <c r="H54" s="388"/>
      <c r="I54" s="388"/>
      <c r="J54" s="179"/>
      <c r="K54" s="179"/>
      <c r="L54" s="180"/>
      <c r="M54" s="400"/>
      <c r="N54" s="83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124"/>
      <c r="Z54" s="51"/>
      <c r="AA54" s="83"/>
      <c r="AB54" s="380"/>
      <c r="AC54" s="380"/>
      <c r="AD54" s="380"/>
      <c r="AE54" s="380"/>
      <c r="AF54" s="380"/>
      <c r="AG54" s="380"/>
      <c r="AH54" s="380"/>
      <c r="AI54" s="380"/>
      <c r="AJ54" s="52"/>
    </row>
    <row r="55" spans="6:36">
      <c r="F55" s="50"/>
      <c r="G55" s="397"/>
      <c r="H55" s="388"/>
      <c r="I55" s="388"/>
      <c r="J55" s="179"/>
      <c r="K55" s="179"/>
      <c r="L55" s="179"/>
      <c r="M55" s="400"/>
      <c r="N55" s="83"/>
      <c r="O55" s="51"/>
      <c r="P55" s="51"/>
      <c r="Q55" s="51"/>
      <c r="R55" s="51"/>
      <c r="S55" s="51"/>
      <c r="T55" s="185"/>
      <c r="U55" s="51"/>
      <c r="V55" s="51"/>
      <c r="W55" s="51"/>
      <c r="X55" s="51"/>
      <c r="Y55" s="124"/>
      <c r="Z55" s="51"/>
      <c r="AA55" s="83"/>
      <c r="AB55" s="374" t="s">
        <v>579</v>
      </c>
      <c r="AC55" s="374"/>
      <c r="AD55" s="374"/>
      <c r="AE55" s="374"/>
      <c r="AF55" s="374"/>
      <c r="AG55" s="374">
        <v>6</v>
      </c>
      <c r="AH55" s="374" t="s">
        <v>603</v>
      </c>
      <c r="AI55" s="374" t="s">
        <v>604</v>
      </c>
      <c r="AJ55" s="52"/>
    </row>
    <row r="56" spans="6:36">
      <c r="F56" s="50"/>
      <c r="G56" s="397"/>
      <c r="H56" s="388"/>
      <c r="I56" s="388"/>
      <c r="J56" s="179"/>
      <c r="K56" s="179"/>
      <c r="L56" s="180"/>
      <c r="M56" s="400"/>
      <c r="N56" s="83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124"/>
      <c r="Z56" s="51"/>
      <c r="AA56" s="83"/>
      <c r="AB56" s="374"/>
      <c r="AC56" s="374"/>
      <c r="AD56" s="374"/>
      <c r="AE56" s="374"/>
      <c r="AF56" s="374"/>
      <c r="AG56" s="374"/>
      <c r="AH56" s="374"/>
      <c r="AI56" s="374"/>
      <c r="AJ56" s="52"/>
    </row>
    <row r="57" spans="6:36">
      <c r="F57" s="50"/>
      <c r="G57" s="397"/>
      <c r="H57" s="388"/>
      <c r="I57" s="388"/>
      <c r="J57" s="179"/>
      <c r="K57" s="179"/>
      <c r="L57" s="180"/>
      <c r="M57" s="400"/>
      <c r="N57" s="83"/>
      <c r="O57" s="51"/>
      <c r="P57" s="51"/>
      <c r="Q57" s="51"/>
      <c r="S57" s="51"/>
      <c r="T57" s="181"/>
      <c r="U57" s="181"/>
      <c r="V57" s="181"/>
      <c r="W57" s="181"/>
      <c r="X57" s="182"/>
      <c r="Y57" s="124"/>
      <c r="Z57" s="51"/>
      <c r="AA57" s="83"/>
      <c r="AB57" s="374"/>
      <c r="AC57" s="374"/>
      <c r="AD57" s="374"/>
      <c r="AE57" s="374"/>
      <c r="AF57" s="374"/>
      <c r="AG57" s="374"/>
      <c r="AH57" s="374"/>
      <c r="AI57" s="374"/>
      <c r="AJ57" s="52"/>
    </row>
    <row r="58" spans="6:36">
      <c r="F58" s="50"/>
      <c r="G58" s="397"/>
      <c r="H58" s="388"/>
      <c r="I58" s="388"/>
      <c r="J58" s="179"/>
      <c r="K58" s="179"/>
      <c r="L58" s="180"/>
      <c r="M58" s="400"/>
      <c r="N58" s="83"/>
      <c r="O58" s="51"/>
      <c r="P58" s="51"/>
      <c r="Q58" s="51"/>
      <c r="S58" s="51"/>
      <c r="T58" s="51"/>
      <c r="U58" s="51"/>
      <c r="V58" s="51"/>
      <c r="W58" s="51"/>
      <c r="X58" s="51"/>
      <c r="Y58" s="124"/>
      <c r="Z58" s="51"/>
      <c r="AA58" s="83"/>
      <c r="AB58" s="374"/>
      <c r="AC58" s="374"/>
      <c r="AD58" s="374"/>
      <c r="AE58" s="374"/>
      <c r="AF58" s="374"/>
      <c r="AG58" s="374"/>
      <c r="AH58" s="374"/>
      <c r="AI58" s="374"/>
      <c r="AJ58" s="52"/>
    </row>
    <row r="59" spans="6:36">
      <c r="F59" s="50"/>
      <c r="G59" s="398"/>
      <c r="H59" s="389"/>
      <c r="I59" s="389"/>
      <c r="J59" s="179"/>
      <c r="K59" s="179"/>
      <c r="L59" s="179"/>
      <c r="M59" s="401"/>
      <c r="N59" s="83"/>
      <c r="O59" s="51"/>
      <c r="P59" s="51"/>
      <c r="Q59" s="51"/>
      <c r="R59" s="51"/>
      <c r="S59" s="51"/>
      <c r="T59" s="53">
        <f>SUM(P65:Z65)</f>
        <v>50</v>
      </c>
      <c r="U59" s="51"/>
      <c r="V59" s="51"/>
      <c r="W59" s="51"/>
      <c r="X59" s="51"/>
      <c r="Y59" s="124"/>
      <c r="Z59" s="51"/>
      <c r="AA59" s="83"/>
      <c r="AB59" s="374"/>
      <c r="AC59" s="374"/>
      <c r="AD59" s="374"/>
      <c r="AE59" s="374"/>
      <c r="AF59" s="374"/>
      <c r="AG59" s="374"/>
      <c r="AH59" s="374"/>
      <c r="AI59" s="374"/>
      <c r="AJ59" s="52"/>
    </row>
    <row r="60" spans="6:36">
      <c r="F60" s="50"/>
      <c r="G60" s="51"/>
      <c r="H60" s="51"/>
      <c r="I60" s="51"/>
      <c r="J60" s="51"/>
      <c r="K60" s="51"/>
      <c r="L60" s="51"/>
      <c r="M60" s="51"/>
      <c r="N60" s="51"/>
      <c r="O60" s="403" t="s">
        <v>173</v>
      </c>
      <c r="P60" s="403"/>
      <c r="Q60" s="403"/>
      <c r="R60" s="403"/>
      <c r="S60" s="403"/>
      <c r="T60" s="403"/>
      <c r="U60" s="403"/>
      <c r="V60" s="403"/>
      <c r="W60" s="403"/>
      <c r="X60" s="403"/>
      <c r="Y60" s="403"/>
      <c r="Z60" s="403"/>
      <c r="AA60" s="51"/>
      <c r="AB60" s="195"/>
      <c r="AC60" s="195"/>
      <c r="AD60" s="195"/>
      <c r="AE60" s="195"/>
      <c r="AF60" s="195"/>
      <c r="AG60" s="195"/>
      <c r="AH60" s="195"/>
      <c r="AI60" s="195"/>
      <c r="AJ60" s="52"/>
    </row>
    <row r="61" spans="6:36" ht="14.25" customHeight="1">
      <c r="F61" s="50"/>
      <c r="G61" s="51"/>
      <c r="H61" s="51"/>
      <c r="I61" s="51"/>
      <c r="J61" s="51"/>
      <c r="K61" s="51"/>
      <c r="L61" s="51"/>
      <c r="M61" s="51"/>
      <c r="N61" s="51"/>
      <c r="P61" s="197" t="s">
        <v>645</v>
      </c>
      <c r="Q61" s="198" t="s">
        <v>577</v>
      </c>
      <c r="R61" s="197" t="s">
        <v>583</v>
      </c>
      <c r="S61" s="198" t="s">
        <v>575</v>
      </c>
      <c r="T61" s="197" t="s">
        <v>646</v>
      </c>
      <c r="U61" s="193" t="s">
        <v>578</v>
      </c>
      <c r="V61" s="200" t="s">
        <v>598</v>
      </c>
      <c r="W61" s="192" t="s">
        <v>572</v>
      </c>
      <c r="X61" s="193" t="s">
        <v>578</v>
      </c>
      <c r="Y61" s="406" t="s">
        <v>571</v>
      </c>
      <c r="Z61" s="407"/>
      <c r="AC61" s="51"/>
      <c r="AD61" s="51"/>
      <c r="AE61" s="51"/>
      <c r="AF61" s="189"/>
      <c r="AG61" s="51"/>
      <c r="AH61" s="51"/>
      <c r="AI61" s="51"/>
      <c r="AJ61" s="52"/>
    </row>
    <row r="62" spans="6:36" s="194" customFormat="1">
      <c r="F62" s="205"/>
      <c r="G62" s="206"/>
      <c r="H62" s="206"/>
      <c r="I62" s="206"/>
      <c r="J62" s="206"/>
      <c r="K62" s="206"/>
      <c r="L62" s="206"/>
      <c r="M62" s="206"/>
      <c r="N62" s="206"/>
      <c r="P62" s="198" t="s">
        <v>583</v>
      </c>
      <c r="Q62" s="198" t="s">
        <v>583</v>
      </c>
      <c r="R62" s="198" t="s">
        <v>612</v>
      </c>
      <c r="S62" s="198" t="s">
        <v>613</v>
      </c>
      <c r="T62" s="198" t="s">
        <v>614</v>
      </c>
      <c r="U62" s="193" t="s">
        <v>582</v>
      </c>
      <c r="V62" s="208"/>
      <c r="W62" s="207"/>
      <c r="X62" s="193" t="s">
        <v>582</v>
      </c>
      <c r="Y62" s="406"/>
      <c r="Z62" s="407"/>
      <c r="AC62" s="206"/>
      <c r="AD62" s="206"/>
      <c r="AE62" s="206"/>
      <c r="AF62" s="206"/>
      <c r="AG62" s="206"/>
      <c r="AH62" s="206"/>
      <c r="AI62" s="206"/>
      <c r="AJ62" s="209"/>
    </row>
    <row r="63" spans="6:36">
      <c r="F63" s="50"/>
      <c r="G63" s="51"/>
      <c r="H63" s="51"/>
      <c r="I63" s="51"/>
      <c r="J63" s="51"/>
      <c r="K63" s="51"/>
      <c r="L63" s="51"/>
      <c r="M63" s="51"/>
      <c r="N63" s="51"/>
      <c r="P63" s="199"/>
      <c r="Q63" s="197"/>
      <c r="R63" s="199"/>
      <c r="S63" s="199"/>
      <c r="T63" s="198" t="s">
        <v>615</v>
      </c>
      <c r="U63" s="193" t="s">
        <v>585</v>
      </c>
      <c r="V63" s="84"/>
      <c r="W63" s="192"/>
      <c r="X63" s="193" t="s">
        <v>585</v>
      </c>
      <c r="Y63" s="406"/>
      <c r="Z63" s="407"/>
      <c r="AC63" s="51"/>
      <c r="AD63" s="51"/>
      <c r="AE63" s="51"/>
      <c r="AF63" s="189"/>
      <c r="AG63" s="51"/>
      <c r="AH63" s="51"/>
      <c r="AI63" s="51"/>
      <c r="AJ63" s="52"/>
    </row>
    <row r="64" spans="6:36" ht="14.25" customHeight="1">
      <c r="F64" s="50"/>
      <c r="G64" s="51"/>
      <c r="H64" s="51"/>
      <c r="I64" s="51"/>
      <c r="J64" s="51"/>
      <c r="K64" s="51"/>
      <c r="L64" s="51"/>
      <c r="M64" s="51"/>
      <c r="N64" s="51"/>
      <c r="P64" s="199"/>
      <c r="Q64" s="198"/>
      <c r="R64" s="199"/>
      <c r="S64" s="198"/>
      <c r="U64" s="193" t="s">
        <v>586</v>
      </c>
      <c r="V64" s="84"/>
      <c r="W64" s="192"/>
      <c r="X64" s="193" t="s">
        <v>586</v>
      </c>
      <c r="Y64" s="406"/>
      <c r="Z64" s="407"/>
      <c r="AC64" s="51"/>
      <c r="AD64" s="51"/>
      <c r="AE64" s="51"/>
      <c r="AF64" s="189"/>
      <c r="AG64" s="51"/>
      <c r="AH64" s="51"/>
      <c r="AI64" s="51"/>
      <c r="AJ64" s="52"/>
    </row>
    <row r="65" spans="6:36">
      <c r="F65" s="50"/>
      <c r="G65" s="51"/>
      <c r="H65" s="51"/>
      <c r="I65" s="51"/>
      <c r="J65" s="51"/>
      <c r="K65" s="51"/>
      <c r="L65" s="51"/>
      <c r="M65" s="51"/>
      <c r="N65" s="51"/>
      <c r="P65" s="199">
        <v>13</v>
      </c>
      <c r="Q65" s="199">
        <v>3</v>
      </c>
      <c r="R65" s="199">
        <v>3</v>
      </c>
      <c r="S65" s="199">
        <v>2</v>
      </c>
      <c r="T65" s="199">
        <v>5</v>
      </c>
      <c r="U65" s="193">
        <v>6</v>
      </c>
      <c r="V65" s="84"/>
      <c r="W65" s="192">
        <v>2</v>
      </c>
      <c r="X65" s="193">
        <v>6</v>
      </c>
      <c r="Y65" s="406">
        <v>10</v>
      </c>
      <c r="Z65" s="407"/>
      <c r="AG65" s="51"/>
      <c r="AH65" s="51"/>
      <c r="AI65" s="51"/>
      <c r="AJ65" s="52"/>
    </row>
    <row r="66" spans="6:36" ht="28.5" customHeight="1">
      <c r="F66" s="50"/>
      <c r="G66" s="51"/>
      <c r="H66" s="51"/>
      <c r="I66" s="51"/>
      <c r="J66" s="51"/>
      <c r="K66" s="51"/>
      <c r="L66" s="51"/>
      <c r="M66" s="51"/>
      <c r="N66" s="51"/>
      <c r="P66" s="197" t="s">
        <v>600</v>
      </c>
      <c r="Q66" s="197" t="s">
        <v>600</v>
      </c>
      <c r="R66" s="197" t="s">
        <v>600</v>
      </c>
      <c r="S66" s="197" t="s">
        <v>600</v>
      </c>
      <c r="T66" s="197" t="s">
        <v>600</v>
      </c>
      <c r="U66" s="193" t="s">
        <v>581</v>
      </c>
      <c r="V66" s="84"/>
      <c r="W66" s="192" t="s">
        <v>159</v>
      </c>
      <c r="X66" s="193" t="s">
        <v>581</v>
      </c>
      <c r="Y66" s="404" t="s">
        <v>625</v>
      </c>
      <c r="Z66" s="405"/>
      <c r="AG66" s="51"/>
      <c r="AH66" s="51"/>
      <c r="AI66" s="51"/>
      <c r="AJ66" s="52"/>
    </row>
    <row r="67" spans="6:36">
      <c r="F67" s="50"/>
      <c r="G67" s="51"/>
      <c r="H67" s="51"/>
      <c r="I67" s="51"/>
      <c r="J67" s="51"/>
      <c r="K67" s="51"/>
      <c r="L67" s="51"/>
      <c r="M67" s="51"/>
      <c r="N67" s="51"/>
      <c r="P67" s="197" t="s">
        <v>601</v>
      </c>
      <c r="Q67" s="197" t="s">
        <v>601</v>
      </c>
      <c r="R67" s="197" t="s">
        <v>601</v>
      </c>
      <c r="S67" s="197" t="s">
        <v>601</v>
      </c>
      <c r="T67" s="197" t="s">
        <v>601</v>
      </c>
      <c r="U67" s="202" t="s">
        <v>602</v>
      </c>
      <c r="V67" s="84"/>
      <c r="W67" s="192" t="s">
        <v>574</v>
      </c>
      <c r="X67" s="202" t="s">
        <v>602</v>
      </c>
      <c r="Y67" s="406" t="s">
        <v>626</v>
      </c>
      <c r="Z67" s="407"/>
      <c r="AG67" s="51"/>
      <c r="AH67" s="51"/>
      <c r="AI67" s="51"/>
      <c r="AJ67" s="52"/>
    </row>
    <row r="68" spans="6:36">
      <c r="F68" s="50"/>
      <c r="G68" s="51"/>
      <c r="H68" s="51"/>
      <c r="I68" s="51"/>
      <c r="J68" s="51"/>
      <c r="K68" s="51"/>
      <c r="L68" s="51"/>
      <c r="M68" s="51"/>
      <c r="N68" s="51"/>
      <c r="O68" s="51"/>
      <c r="P68" s="390" t="s">
        <v>636</v>
      </c>
      <c r="Q68" s="391"/>
      <c r="R68" s="391"/>
      <c r="S68" s="391"/>
      <c r="T68" s="391"/>
      <c r="U68" s="392"/>
      <c r="Z68" s="51"/>
      <c r="AA68" s="51"/>
      <c r="AB68" s="199" t="s">
        <v>623</v>
      </c>
      <c r="AG68" s="51"/>
      <c r="AH68" s="51"/>
      <c r="AI68" s="51"/>
      <c r="AJ68" s="52"/>
    </row>
    <row r="69" spans="6:36">
      <c r="F69" s="50"/>
      <c r="G69" s="51"/>
      <c r="H69" s="51"/>
      <c r="I69" s="51"/>
      <c r="J69" s="51"/>
      <c r="K69" s="51"/>
      <c r="L69" s="51"/>
      <c r="M69" s="51"/>
      <c r="N69" s="51"/>
      <c r="O69" s="53"/>
      <c r="P69" s="393"/>
      <c r="Q69" s="394"/>
      <c r="R69" s="394"/>
      <c r="S69" s="394"/>
      <c r="T69" s="394"/>
      <c r="U69" s="395"/>
      <c r="Z69" s="51"/>
      <c r="AA69" s="51"/>
      <c r="AB69" s="212" t="s">
        <v>622</v>
      </c>
      <c r="AG69" s="51"/>
      <c r="AH69" s="51"/>
      <c r="AI69" s="51"/>
      <c r="AJ69" s="52"/>
    </row>
    <row r="70" spans="6:36" ht="14.25" customHeight="1">
      <c r="F70" s="50"/>
      <c r="G70" s="51"/>
      <c r="H70" s="51"/>
      <c r="I70" s="51"/>
      <c r="J70" s="51"/>
      <c r="K70" s="51"/>
      <c r="L70" s="51"/>
      <c r="M70" s="51"/>
      <c r="N70" s="51"/>
      <c r="Y70" s="211"/>
      <c r="Z70" s="211"/>
      <c r="AA70" s="203"/>
      <c r="AB70" s="199" t="s">
        <v>621</v>
      </c>
      <c r="AG70" s="51"/>
      <c r="AH70" s="51"/>
      <c r="AI70" s="51"/>
      <c r="AJ70" s="52"/>
    </row>
    <row r="71" spans="6:36">
      <c r="P71" s="176" t="s">
        <v>597</v>
      </c>
      <c r="Y71" s="211"/>
      <c r="Z71" s="211"/>
      <c r="AA71" s="203"/>
      <c r="AB71" s="199"/>
    </row>
    <row r="72" spans="6:36">
      <c r="P72" s="190" t="s">
        <v>616</v>
      </c>
      <c r="Y72" s="211"/>
      <c r="Z72" s="211"/>
      <c r="AA72" s="203"/>
      <c r="AB72" s="199">
        <v>2</v>
      </c>
    </row>
    <row r="73" spans="6:36" ht="14.25" customHeight="1">
      <c r="P73" s="191"/>
      <c r="Y73" s="211"/>
      <c r="Z73" s="211"/>
      <c r="AA73" s="203"/>
      <c r="AB73" s="197" t="s">
        <v>624</v>
      </c>
    </row>
    <row r="74" spans="6:36">
      <c r="H74" s="160"/>
      <c r="I74" s="160"/>
      <c r="J74" s="160"/>
      <c r="K74" s="148"/>
      <c r="L74" s="174"/>
      <c r="M74" s="148"/>
      <c r="N74" s="148"/>
      <c r="P74" s="191"/>
      <c r="Y74" s="211"/>
      <c r="Z74" s="211"/>
      <c r="AA74" s="203"/>
      <c r="AB74" s="197" t="s">
        <v>637</v>
      </c>
    </row>
    <row r="75" spans="6:36">
      <c r="H75" s="148"/>
      <c r="I75" s="148"/>
      <c r="J75" s="148"/>
      <c r="N75" s="148"/>
      <c r="P75" s="191">
        <v>6</v>
      </c>
      <c r="Y75" s="211"/>
      <c r="Z75" s="211"/>
      <c r="AA75" s="203"/>
    </row>
    <row r="76" spans="6:36">
      <c r="H76" s="148"/>
      <c r="I76" s="148"/>
      <c r="J76" s="148"/>
      <c r="N76" s="148"/>
      <c r="P76" s="176" t="s">
        <v>600</v>
      </c>
      <c r="Y76" s="211"/>
      <c r="Z76" s="211"/>
      <c r="AA76" s="203"/>
    </row>
    <row r="77" spans="6:36" ht="14.25" customHeight="1">
      <c r="H77" s="148"/>
      <c r="I77" s="148"/>
      <c r="J77" s="148"/>
      <c r="N77" s="148"/>
      <c r="P77" s="176" t="s">
        <v>601</v>
      </c>
      <c r="W77" s="201"/>
    </row>
    <row r="78" spans="6:36">
      <c r="H78" s="148"/>
      <c r="I78" s="148"/>
      <c r="J78" s="148"/>
      <c r="N78" s="148"/>
      <c r="O78" s="148"/>
      <c r="P78" s="148"/>
      <c r="W78" s="201"/>
    </row>
    <row r="79" spans="6:36">
      <c r="H79" s="148"/>
      <c r="I79" s="148"/>
      <c r="J79" s="148"/>
      <c r="K79" s="148"/>
      <c r="L79" s="148"/>
      <c r="M79" s="175"/>
      <c r="N79" s="148"/>
      <c r="O79" s="148"/>
      <c r="P79" s="148"/>
      <c r="W79" s="12"/>
    </row>
    <row r="80" spans="6:36">
      <c r="W80" s="201"/>
    </row>
    <row r="81" spans="23:23">
      <c r="W81" s="201"/>
    </row>
    <row r="108" ht="42.75" customHeight="1"/>
    <row r="112" ht="14.25" customHeight="1"/>
  </sheetData>
  <mergeCells count="80"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  <mergeCell ref="AC26:AC31"/>
    <mergeCell ref="H26:H59"/>
    <mergeCell ref="I26:I59"/>
    <mergeCell ref="AB55:AB59"/>
    <mergeCell ref="AC55:AC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O18:P18"/>
    <mergeCell ref="O17:P17"/>
    <mergeCell ref="U17:Z17"/>
    <mergeCell ref="U18:Z18"/>
    <mergeCell ref="U19:Z19"/>
    <mergeCell ref="Q17:T17"/>
    <mergeCell ref="Q18:T18"/>
    <mergeCell ref="Q19:T19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3" t="s">
        <v>14</v>
      </c>
      <c r="B1" s="13" t="s">
        <v>15</v>
      </c>
      <c r="C1" s="13" t="s">
        <v>18</v>
      </c>
      <c r="D1" s="13" t="s">
        <v>17</v>
      </c>
      <c r="E1" s="13" t="s">
        <v>16</v>
      </c>
      <c r="F1" s="13" t="s">
        <v>19</v>
      </c>
    </row>
    <row r="2" spans="1:6">
      <c r="A2" s="24"/>
      <c r="B2" s="24"/>
      <c r="C2" s="24"/>
      <c r="D2" s="24"/>
      <c r="E2" s="24"/>
      <c r="F2" s="24"/>
    </row>
    <row r="3" spans="1:6">
      <c r="A3" s="35"/>
      <c r="B3" s="35"/>
      <c r="C3" s="38"/>
      <c r="D3" s="35"/>
      <c r="E3" s="35"/>
      <c r="F3" s="32"/>
    </row>
    <row r="4" spans="1:6">
      <c r="A4" s="35"/>
      <c r="B4" s="35"/>
      <c r="C4" s="38"/>
      <c r="D4" s="35"/>
      <c r="E4" s="32"/>
      <c r="F4" s="32"/>
    </row>
    <row r="5" spans="1:6">
      <c r="A5" s="32"/>
      <c r="B5" s="32"/>
      <c r="C5" s="32"/>
      <c r="D5" s="32"/>
      <c r="E5" s="32"/>
      <c r="F5" s="32"/>
    </row>
    <row r="6" spans="1:6">
      <c r="A6" s="32"/>
      <c r="B6" s="32"/>
      <c r="C6" s="32"/>
      <c r="D6" s="32"/>
      <c r="E6" s="32"/>
      <c r="F6" s="32"/>
    </row>
    <row r="7" spans="1:6">
      <c r="A7" s="32"/>
      <c r="B7" s="32"/>
      <c r="C7" s="32"/>
      <c r="D7" s="32"/>
      <c r="E7" s="32"/>
      <c r="F7" s="32"/>
    </row>
    <row r="8" spans="1:6">
      <c r="A8" s="24"/>
      <c r="B8" s="24"/>
      <c r="C8" s="24"/>
      <c r="D8" s="24"/>
      <c r="E8" s="24"/>
      <c r="F8" s="24"/>
    </row>
    <row r="9" spans="1:6">
      <c r="A9" s="32"/>
      <c r="B9" s="32"/>
      <c r="C9" s="32"/>
      <c r="D9" s="32"/>
      <c r="E9" s="32"/>
      <c r="F9" s="14"/>
    </row>
    <row r="10" spans="1:6">
      <c r="A10" s="32"/>
      <c r="B10" s="32"/>
      <c r="C10" s="32"/>
      <c r="D10" s="32"/>
      <c r="E10" s="32"/>
      <c r="F10" s="14"/>
    </row>
    <row r="11" spans="1:6">
      <c r="A11" s="32"/>
      <c r="B11" s="32"/>
      <c r="C11" s="32"/>
      <c r="D11" s="32"/>
      <c r="E11" s="32"/>
      <c r="F11" s="14"/>
    </row>
    <row r="12" spans="1:6">
      <c r="A12" s="32"/>
      <c r="B12" s="32"/>
      <c r="C12" s="32"/>
      <c r="D12" s="32"/>
      <c r="E12" s="32"/>
      <c r="F12" s="14"/>
    </row>
    <row r="13" spans="1:6">
      <c r="A13" s="32"/>
      <c r="B13" s="32"/>
      <c r="C13" s="32"/>
      <c r="D13" s="32"/>
      <c r="E13" s="32"/>
      <c r="F13" s="14"/>
    </row>
    <row r="14" spans="1:6">
      <c r="A14" s="32"/>
      <c r="B14" s="32"/>
      <c r="C14" s="32"/>
      <c r="D14" s="32"/>
      <c r="E14" s="32"/>
      <c r="F14" s="14"/>
    </row>
    <row r="15" spans="1:6">
      <c r="A15" s="32"/>
      <c r="B15" s="32"/>
      <c r="C15" s="32"/>
      <c r="D15" s="32"/>
      <c r="E15" s="32"/>
      <c r="F15" s="14"/>
    </row>
    <row r="16" spans="1:6">
      <c r="A16" s="32"/>
      <c r="B16" s="32"/>
      <c r="C16" s="32"/>
      <c r="D16" s="32"/>
      <c r="E16" s="32"/>
      <c r="F16" s="14"/>
    </row>
    <row r="17" spans="1:6">
      <c r="A17" s="14"/>
      <c r="B17" s="14"/>
      <c r="C17" s="14"/>
      <c r="D17" s="14"/>
      <c r="E17" s="14"/>
      <c r="F17" s="14"/>
    </row>
    <row r="18" spans="1:6">
      <c r="A18" s="14"/>
      <c r="B18" s="14"/>
      <c r="C18" s="14"/>
      <c r="D18" s="14"/>
      <c r="E18" s="14"/>
      <c r="F18" s="14"/>
    </row>
    <row r="19" spans="1:6">
      <c r="A19" s="14"/>
      <c r="B19" s="14"/>
      <c r="C19" s="14"/>
      <c r="D19" s="14"/>
      <c r="E19" s="14"/>
      <c r="F19" s="14"/>
    </row>
    <row r="20" spans="1:6">
      <c r="A20" s="14"/>
      <c r="B20" s="14"/>
      <c r="C20" s="14"/>
      <c r="D20" s="14"/>
      <c r="E20" s="14"/>
      <c r="F20" s="14"/>
    </row>
    <row r="21" spans="1:6">
      <c r="A21" s="14"/>
      <c r="B21" s="14"/>
      <c r="C21" s="14"/>
      <c r="D21" s="14"/>
      <c r="E21" s="14"/>
      <c r="F21" s="14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A15" sqref="A15:E17"/>
    </sheetView>
  </sheetViews>
  <sheetFormatPr defaultColWidth="9" defaultRowHeight="14.25"/>
  <cols>
    <col min="1" max="1" width="19.875" style="67" customWidth="1"/>
    <col min="2" max="2" width="15" style="67" customWidth="1"/>
    <col min="3" max="3" width="14.25" style="67" customWidth="1"/>
    <col min="4" max="4" width="15.625" style="67" customWidth="1"/>
    <col min="5" max="5" width="14.25" style="67" customWidth="1"/>
    <col min="6" max="6" width="18.625" style="67" customWidth="1"/>
    <col min="7" max="7" width="14.5" style="67" customWidth="1"/>
    <col min="8" max="16384" width="9" style="67"/>
  </cols>
  <sheetData>
    <row r="1" spans="1:7" ht="31.5" customHeight="1">
      <c r="A1" s="68" t="s">
        <v>61</v>
      </c>
      <c r="B1" s="68" t="s">
        <v>60</v>
      </c>
      <c r="C1" s="70" t="s">
        <v>66</v>
      </c>
      <c r="D1" s="70" t="s">
        <v>67</v>
      </c>
      <c r="E1" s="70" t="s">
        <v>69</v>
      </c>
      <c r="F1" s="68" t="s">
        <v>62</v>
      </c>
    </row>
    <row r="2" spans="1:7" ht="42.75">
      <c r="A2" s="69"/>
      <c r="B2" s="71"/>
      <c r="C2" s="71"/>
      <c r="D2" s="71"/>
      <c r="E2" s="69"/>
      <c r="F2" s="73" t="s">
        <v>70</v>
      </c>
    </row>
    <row r="3" spans="1:7" ht="42.75">
      <c r="A3" s="69"/>
      <c r="B3" s="71"/>
      <c r="C3" s="71"/>
      <c r="D3" s="71"/>
      <c r="E3" s="69"/>
      <c r="F3" s="73" t="s">
        <v>70</v>
      </c>
    </row>
    <row r="4" spans="1:7" ht="42.75">
      <c r="A4" s="69"/>
      <c r="B4" s="71"/>
      <c r="C4" s="71"/>
      <c r="D4" s="71"/>
      <c r="E4" s="69"/>
      <c r="F4" s="73" t="s">
        <v>70</v>
      </c>
    </row>
    <row r="5" spans="1:7" ht="42.75">
      <c r="A5" s="69"/>
      <c r="B5" s="71"/>
      <c r="C5" s="71"/>
      <c r="D5" s="71"/>
      <c r="E5" s="69"/>
      <c r="F5" s="73" t="s">
        <v>70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0" t="s">
        <v>71</v>
      </c>
      <c r="B14" s="70" t="s">
        <v>72</v>
      </c>
      <c r="C14" s="70" t="s">
        <v>63</v>
      </c>
      <c r="D14" s="70" t="s">
        <v>156</v>
      </c>
      <c r="E14" s="70" t="s">
        <v>64</v>
      </c>
      <c r="F14" s="70" t="s">
        <v>65</v>
      </c>
      <c r="G14" s="68" t="s">
        <v>62</v>
      </c>
    </row>
    <row r="15" spans="1:7">
      <c r="A15" s="71"/>
      <c r="B15" s="69"/>
      <c r="C15" s="71"/>
      <c r="D15" s="71"/>
      <c r="E15" s="71"/>
      <c r="F15" s="69"/>
      <c r="G15" s="72"/>
    </row>
    <row r="16" spans="1:7">
      <c r="A16" s="71"/>
      <c r="B16" s="71"/>
      <c r="C16" s="71"/>
      <c r="D16" s="71"/>
      <c r="E16" s="69"/>
      <c r="F16" s="69"/>
      <c r="G16" s="72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2:H39"/>
  <sheetViews>
    <sheetView zoomScaleNormal="100" workbookViewId="0">
      <selection activeCell="I7" sqref="I7"/>
    </sheetView>
  </sheetViews>
  <sheetFormatPr defaultColWidth="9" defaultRowHeight="14.25"/>
  <cols>
    <col min="1" max="1" width="14.125" style="295" customWidth="1"/>
    <col min="2" max="2" width="18.375" style="295" customWidth="1"/>
    <col min="3" max="3" width="15.25" style="295" customWidth="1"/>
    <col min="4" max="4" width="18.375" style="295" customWidth="1"/>
    <col min="5" max="5" width="10.375" style="295" customWidth="1"/>
    <col min="6" max="7" width="9" style="295"/>
    <col min="8" max="8" width="10.625" style="295" customWidth="1"/>
    <col min="9" max="9" width="11.25" style="295" customWidth="1"/>
    <col min="10" max="16384" width="9" style="295"/>
  </cols>
  <sheetData>
    <row r="2" spans="1:5">
      <c r="C2" s="298"/>
    </row>
    <row r="4" spans="1:5">
      <c r="A4" s="320"/>
      <c r="B4" s="319"/>
      <c r="C4" s="319"/>
      <c r="D4" s="318"/>
    </row>
    <row r="5" spans="1:5">
      <c r="A5" s="313" t="s">
        <v>1023</v>
      </c>
      <c r="B5" s="317" t="s">
        <v>1022</v>
      </c>
      <c r="C5" s="316"/>
      <c r="D5" s="306"/>
    </row>
    <row r="6" spans="1:5">
      <c r="A6" s="313"/>
      <c r="B6" s="315"/>
      <c r="C6" s="314"/>
      <c r="D6" s="306"/>
    </row>
    <row r="7" spans="1:5">
      <c r="A7" s="313" t="s">
        <v>1021</v>
      </c>
      <c r="B7" s="312" t="s">
        <v>1020</v>
      </c>
      <c r="C7" s="312"/>
      <c r="D7" s="306"/>
    </row>
    <row r="8" spans="1:5">
      <c r="A8" s="311"/>
      <c r="B8" s="310"/>
      <c r="C8" s="310"/>
      <c r="D8" s="306"/>
    </row>
    <row r="9" spans="1:5">
      <c r="A9" s="308"/>
      <c r="B9" s="307"/>
      <c r="C9" s="309"/>
      <c r="D9" s="306"/>
    </row>
    <row r="10" spans="1:5">
      <c r="A10" s="308"/>
      <c r="B10" s="307"/>
      <c r="C10" s="309"/>
      <c r="D10" s="306"/>
    </row>
    <row r="11" spans="1:5">
      <c r="A11" s="308"/>
      <c r="B11" s="307"/>
      <c r="C11" s="307"/>
      <c r="D11" s="306"/>
    </row>
    <row r="12" spans="1:5">
      <c r="A12" s="305"/>
      <c r="B12" s="304"/>
      <c r="C12" s="304"/>
      <c r="D12" s="303"/>
    </row>
    <row r="15" spans="1:5">
      <c r="D15" s="301" t="s">
        <v>1019</v>
      </c>
      <c r="E15" s="301" t="s">
        <v>1018</v>
      </c>
    </row>
    <row r="16" spans="1:5">
      <c r="A16" s="298" t="s">
        <v>1017</v>
      </c>
    </row>
    <row r="17" spans="1:8">
      <c r="A17" s="411" t="s">
        <v>1016</v>
      </c>
      <c r="B17" s="301" t="s">
        <v>1015</v>
      </c>
      <c r="C17" s="301" t="s">
        <v>1014</v>
      </c>
      <c r="D17" s="301" t="s">
        <v>1013</v>
      </c>
      <c r="E17" s="301" t="s">
        <v>1012</v>
      </c>
      <c r="F17" s="298"/>
      <c r="H17" s="298"/>
    </row>
    <row r="18" spans="1:8">
      <c r="A18" s="412"/>
      <c r="B18" s="301" t="s">
        <v>1011</v>
      </c>
      <c r="C18" s="302">
        <v>12</v>
      </c>
      <c r="D18" s="301" t="s">
        <v>1010</v>
      </c>
      <c r="E18" s="301" t="s">
        <v>1009</v>
      </c>
      <c r="H18" s="298"/>
    </row>
    <row r="19" spans="1:8">
      <c r="A19" s="412"/>
      <c r="B19" s="301" t="s">
        <v>1008</v>
      </c>
      <c r="C19" s="302">
        <v>32</v>
      </c>
      <c r="D19" s="301" t="s">
        <v>1007</v>
      </c>
      <c r="E19" s="301" t="s">
        <v>1006</v>
      </c>
      <c r="G19" s="298"/>
      <c r="H19" s="298"/>
    </row>
    <row r="20" spans="1:8">
      <c r="A20" s="300" t="s">
        <v>1005</v>
      </c>
      <c r="B20" s="299" t="s">
        <v>407</v>
      </c>
      <c r="G20" s="298"/>
      <c r="H20" s="298"/>
    </row>
    <row r="21" spans="1:8">
      <c r="A21" s="297" t="s">
        <v>1004</v>
      </c>
      <c r="B21" s="297" t="s">
        <v>1003</v>
      </c>
      <c r="C21" s="297" t="s">
        <v>1002</v>
      </c>
      <c r="D21" s="297" t="s">
        <v>1001</v>
      </c>
      <c r="E21" s="296" t="s">
        <v>1000</v>
      </c>
      <c r="F21" s="297" t="s">
        <v>142</v>
      </c>
      <c r="H21" s="298"/>
    </row>
    <row r="22" spans="1:8">
      <c r="A22" s="408" t="s">
        <v>999</v>
      </c>
      <c r="B22" s="297" t="s">
        <v>982</v>
      </c>
      <c r="C22" s="296">
        <v>4</v>
      </c>
      <c r="D22" s="296">
        <v>4</v>
      </c>
      <c r="E22" s="296" t="s">
        <v>980</v>
      </c>
      <c r="F22" s="297" t="s">
        <v>998</v>
      </c>
    </row>
    <row r="23" spans="1:8">
      <c r="A23" s="409"/>
      <c r="B23" s="297" t="s">
        <v>980</v>
      </c>
      <c r="C23" s="296">
        <v>3</v>
      </c>
      <c r="D23" s="296">
        <v>3</v>
      </c>
      <c r="E23" s="296" t="s">
        <v>979</v>
      </c>
      <c r="F23" s="297" t="s">
        <v>997</v>
      </c>
    </row>
    <row r="24" spans="1:8">
      <c r="A24" s="410"/>
      <c r="B24" s="297" t="s">
        <v>977</v>
      </c>
      <c r="C24" s="296">
        <v>2</v>
      </c>
      <c r="D24" s="296">
        <v>2</v>
      </c>
      <c r="E24" s="297" t="s">
        <v>976</v>
      </c>
      <c r="F24" s="297" t="s">
        <v>996</v>
      </c>
    </row>
    <row r="25" spans="1:8">
      <c r="A25" s="410"/>
      <c r="B25" s="297" t="s">
        <v>991</v>
      </c>
      <c r="C25" s="296">
        <v>1</v>
      </c>
      <c r="D25" s="296">
        <v>0</v>
      </c>
      <c r="E25" s="297" t="s">
        <v>990</v>
      </c>
      <c r="F25" s="297" t="s">
        <v>996</v>
      </c>
    </row>
    <row r="26" spans="1:8">
      <c r="A26" s="410"/>
      <c r="B26" s="296"/>
      <c r="C26" s="296"/>
      <c r="D26" s="296"/>
      <c r="E26" s="297" t="s">
        <v>987</v>
      </c>
      <c r="F26" s="296" t="s">
        <v>995</v>
      </c>
    </row>
    <row r="27" spans="1:8">
      <c r="A27" s="410"/>
      <c r="B27" s="296"/>
      <c r="C27" s="296"/>
      <c r="D27" s="296"/>
      <c r="E27" s="297" t="s">
        <v>985</v>
      </c>
      <c r="F27" s="296" t="s">
        <v>995</v>
      </c>
    </row>
    <row r="28" spans="1:8">
      <c r="A28" s="408" t="s">
        <v>994</v>
      </c>
      <c r="B28" s="297" t="s">
        <v>982</v>
      </c>
      <c r="C28" s="296">
        <v>7</v>
      </c>
      <c r="D28" s="296">
        <v>7</v>
      </c>
      <c r="E28" s="296" t="s">
        <v>980</v>
      </c>
      <c r="F28" s="297" t="s">
        <v>993</v>
      </c>
    </row>
    <row r="29" spans="1:8">
      <c r="A29" s="409"/>
      <c r="B29" s="297" t="s">
        <v>980</v>
      </c>
      <c r="C29" s="296">
        <v>6</v>
      </c>
      <c r="D29" s="296">
        <v>6</v>
      </c>
      <c r="E29" s="296" t="s">
        <v>979</v>
      </c>
      <c r="F29" s="297" t="s">
        <v>992</v>
      </c>
    </row>
    <row r="30" spans="1:8">
      <c r="A30" s="410"/>
      <c r="B30" s="297" t="s">
        <v>977</v>
      </c>
      <c r="C30" s="297">
        <v>5</v>
      </c>
      <c r="D30" s="297">
        <v>5</v>
      </c>
      <c r="E30" s="297" t="s">
        <v>976</v>
      </c>
      <c r="F30" s="297" t="s">
        <v>989</v>
      </c>
    </row>
    <row r="31" spans="1:8">
      <c r="A31" s="410"/>
      <c r="B31" s="297" t="s">
        <v>991</v>
      </c>
      <c r="C31" s="297">
        <v>4</v>
      </c>
      <c r="D31" s="297">
        <v>2</v>
      </c>
      <c r="E31" s="297" t="s">
        <v>990</v>
      </c>
      <c r="F31" s="297" t="s">
        <v>989</v>
      </c>
    </row>
    <row r="32" spans="1:8">
      <c r="A32" s="410"/>
      <c r="B32" s="296" t="s">
        <v>988</v>
      </c>
      <c r="C32" s="297">
        <v>1</v>
      </c>
      <c r="D32" s="297">
        <v>1</v>
      </c>
      <c r="E32" s="297" t="s">
        <v>987</v>
      </c>
      <c r="F32" s="297" t="s">
        <v>984</v>
      </c>
    </row>
    <row r="33" spans="1:6">
      <c r="A33" s="410"/>
      <c r="B33" s="297" t="s">
        <v>986</v>
      </c>
      <c r="C33" s="297">
        <v>0</v>
      </c>
      <c r="D33" s="296">
        <v>0</v>
      </c>
      <c r="E33" s="297" t="s">
        <v>985</v>
      </c>
      <c r="F33" s="297" t="s">
        <v>984</v>
      </c>
    </row>
    <row r="34" spans="1:6">
      <c r="A34" s="408" t="s">
        <v>983</v>
      </c>
      <c r="B34" s="297" t="s">
        <v>982</v>
      </c>
      <c r="C34" s="296">
        <v>5</v>
      </c>
      <c r="D34" s="296">
        <v>5</v>
      </c>
      <c r="E34" s="296" t="s">
        <v>980</v>
      </c>
      <c r="F34" s="297" t="s">
        <v>981</v>
      </c>
    </row>
    <row r="35" spans="1:6">
      <c r="A35" s="409"/>
      <c r="B35" s="297" t="s">
        <v>980</v>
      </c>
      <c r="C35" s="296">
        <v>4</v>
      </c>
      <c r="D35" s="296">
        <v>4</v>
      </c>
      <c r="E35" s="296" t="s">
        <v>979</v>
      </c>
      <c r="F35" s="297" t="s">
        <v>978</v>
      </c>
    </row>
    <row r="36" spans="1:6">
      <c r="A36" s="410"/>
      <c r="B36" s="297" t="s">
        <v>977</v>
      </c>
      <c r="C36" s="296">
        <v>3</v>
      </c>
      <c r="D36" s="296">
        <v>3</v>
      </c>
      <c r="E36" s="297" t="s">
        <v>976</v>
      </c>
      <c r="F36" s="297" t="s">
        <v>589</v>
      </c>
    </row>
    <row r="37" spans="1:6">
      <c r="A37" s="410"/>
      <c r="B37" s="297" t="s">
        <v>975</v>
      </c>
      <c r="C37" s="296">
        <v>2</v>
      </c>
      <c r="D37" s="296">
        <v>1</v>
      </c>
      <c r="E37" s="297" t="s">
        <v>974</v>
      </c>
      <c r="F37" s="297" t="s">
        <v>589</v>
      </c>
    </row>
    <row r="38" spans="1:6">
      <c r="A38" s="410"/>
      <c r="B38" s="296" t="s">
        <v>973</v>
      </c>
      <c r="C38" s="296">
        <v>0</v>
      </c>
      <c r="D38" s="296">
        <v>0</v>
      </c>
      <c r="E38" s="297" t="s">
        <v>972</v>
      </c>
      <c r="F38" s="296" t="s">
        <v>970</v>
      </c>
    </row>
    <row r="39" spans="1:6">
      <c r="A39" s="410"/>
      <c r="B39" s="296"/>
      <c r="C39" s="296"/>
      <c r="D39" s="296"/>
      <c r="E39" s="297" t="s">
        <v>971</v>
      </c>
      <c r="F39" s="296" t="s">
        <v>970</v>
      </c>
    </row>
  </sheetData>
  <mergeCells count="4">
    <mergeCell ref="A34:A39"/>
    <mergeCell ref="A22:A27"/>
    <mergeCell ref="A17:A19"/>
    <mergeCell ref="A28:A33"/>
  </mergeCells>
  <phoneticPr fontId="3" type="noConversion"/>
  <dataValidations count="2">
    <dataValidation type="list" allowBlank="1" showInputMessage="1" showErrorMessage="1" sqref="B20">
      <formula1>"是,否"</formula1>
    </dataValidation>
    <dataValidation type="list" allowBlank="1" showInputMessage="1" showErrorMessage="1" sqref="C17">
      <formula1>"SV interface,Verilog"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3" zoomScale="85" zoomScaleNormal="85" workbookViewId="0">
      <selection activeCell="B113" sqref="B11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7" t="s">
        <v>221</v>
      </c>
    </row>
    <row r="3" spans="1:13" ht="78" customHeight="1">
      <c r="B3" s="458" t="s">
        <v>213</v>
      </c>
      <c r="C3" s="421"/>
      <c r="D3" s="421"/>
      <c r="E3" s="421"/>
      <c r="F3" s="421"/>
      <c r="G3" s="421"/>
      <c r="H3" s="89"/>
      <c r="I3" s="89"/>
      <c r="J3" s="89"/>
      <c r="K3" s="89"/>
      <c r="L3" s="89"/>
      <c r="M3" s="89"/>
    </row>
    <row r="6" spans="1:13">
      <c r="B6" s="77"/>
    </row>
    <row r="7" spans="1:13">
      <c r="A7" s="77" t="s">
        <v>222</v>
      </c>
    </row>
    <row r="8" spans="1:13">
      <c r="B8" s="140" t="s">
        <v>199</v>
      </c>
      <c r="C8" s="140" t="s">
        <v>200</v>
      </c>
      <c r="D8" s="140" t="s">
        <v>405</v>
      </c>
      <c r="E8" s="140" t="s">
        <v>206</v>
      </c>
      <c r="F8" s="140" t="s">
        <v>207</v>
      </c>
      <c r="G8" s="140" t="s">
        <v>209</v>
      </c>
      <c r="H8" s="140" t="s">
        <v>208</v>
      </c>
    </row>
    <row r="9" spans="1:13">
      <c r="B9" s="137" t="s">
        <v>196</v>
      </c>
      <c r="C9" s="138" t="s">
        <v>205</v>
      </c>
      <c r="D9" s="139" t="s">
        <v>464</v>
      </c>
      <c r="E9" s="139" t="s">
        <v>464</v>
      </c>
      <c r="F9" s="139" t="s">
        <v>464</v>
      </c>
      <c r="G9" s="139" t="s">
        <v>464</v>
      </c>
      <c r="H9" s="138" t="s">
        <v>211</v>
      </c>
    </row>
    <row r="10" spans="1:13">
      <c r="B10" s="137" t="s">
        <v>457</v>
      </c>
      <c r="C10" s="138" t="s">
        <v>458</v>
      </c>
      <c r="D10" s="138" t="s">
        <v>465</v>
      </c>
      <c r="E10" s="139" t="s">
        <v>464</v>
      </c>
      <c r="F10" s="138" t="s">
        <v>465</v>
      </c>
      <c r="G10" s="138" t="s">
        <v>465</v>
      </c>
      <c r="H10" s="138" t="s">
        <v>459</v>
      </c>
    </row>
    <row r="11" spans="1:13">
      <c r="B11" s="137" t="s">
        <v>460</v>
      </c>
      <c r="C11" s="138" t="s">
        <v>461</v>
      </c>
      <c r="D11" s="138" t="s">
        <v>465</v>
      </c>
      <c r="E11" s="139" t="s">
        <v>464</v>
      </c>
      <c r="F11" s="138" t="s">
        <v>465</v>
      </c>
      <c r="G11" s="138" t="s">
        <v>465</v>
      </c>
      <c r="H11" s="138" t="s">
        <v>459</v>
      </c>
    </row>
    <row r="12" spans="1:13">
      <c r="B12" s="137" t="s">
        <v>462</v>
      </c>
      <c r="C12" s="138" t="s">
        <v>463</v>
      </c>
      <c r="D12" s="138" t="s">
        <v>465</v>
      </c>
      <c r="E12" s="139" t="s">
        <v>464</v>
      </c>
      <c r="F12" s="138" t="s">
        <v>465</v>
      </c>
      <c r="G12" s="138" t="s">
        <v>465</v>
      </c>
      <c r="H12" s="138" t="s">
        <v>459</v>
      </c>
    </row>
    <row r="13" spans="1:13" ht="28.5">
      <c r="B13" s="137" t="s">
        <v>197</v>
      </c>
      <c r="C13" s="138" t="s">
        <v>215</v>
      </c>
      <c r="D13" s="139" t="s">
        <v>464</v>
      </c>
      <c r="E13" s="139" t="s">
        <v>464</v>
      </c>
      <c r="F13" s="139" t="s">
        <v>464</v>
      </c>
      <c r="G13" s="139" t="s">
        <v>464</v>
      </c>
      <c r="H13" s="138" t="s">
        <v>211</v>
      </c>
    </row>
    <row r="14" spans="1:13" ht="42.75" customHeight="1">
      <c r="B14" s="137" t="s">
        <v>198</v>
      </c>
      <c r="C14" s="138" t="s">
        <v>217</v>
      </c>
      <c r="D14" s="139" t="s">
        <v>464</v>
      </c>
      <c r="E14" s="138" t="s">
        <v>465</v>
      </c>
      <c r="F14" s="138" t="s">
        <v>465</v>
      </c>
      <c r="G14" s="139" t="s">
        <v>464</v>
      </c>
      <c r="H14" s="138" t="s">
        <v>466</v>
      </c>
    </row>
    <row r="15" spans="1:13">
      <c r="B15" s="137" t="s">
        <v>201</v>
      </c>
      <c r="C15" s="138" t="s">
        <v>214</v>
      </c>
      <c r="D15" s="139" t="s">
        <v>464</v>
      </c>
      <c r="E15" s="139" t="s">
        <v>464</v>
      </c>
      <c r="F15" s="138" t="s">
        <v>465</v>
      </c>
      <c r="G15" s="139" t="s">
        <v>464</v>
      </c>
      <c r="H15" s="138" t="s">
        <v>211</v>
      </c>
    </row>
    <row r="16" spans="1:13">
      <c r="B16" s="137" t="s">
        <v>210</v>
      </c>
      <c r="C16" s="138" t="s">
        <v>216</v>
      </c>
      <c r="D16" s="138" t="s">
        <v>465</v>
      </c>
      <c r="E16" s="139" t="s">
        <v>464</v>
      </c>
      <c r="F16" s="138" t="s">
        <v>465</v>
      </c>
      <c r="G16" s="138" t="s">
        <v>465</v>
      </c>
      <c r="H16" s="138" t="s">
        <v>212</v>
      </c>
    </row>
    <row r="17" spans="1:10" ht="28.5">
      <c r="B17" s="137" t="s">
        <v>202</v>
      </c>
      <c r="C17" s="138" t="s">
        <v>218</v>
      </c>
      <c r="D17" s="139" t="s">
        <v>464</v>
      </c>
      <c r="E17" s="138" t="s">
        <v>465</v>
      </c>
      <c r="F17" s="138" t="s">
        <v>465</v>
      </c>
      <c r="G17" s="138" t="s">
        <v>465</v>
      </c>
      <c r="H17" s="138" t="s">
        <v>211</v>
      </c>
    </row>
    <row r="18" spans="1:10" ht="42.75">
      <c r="B18" s="137" t="s">
        <v>203</v>
      </c>
      <c r="C18" s="138" t="s">
        <v>219</v>
      </c>
      <c r="D18" s="139" t="s">
        <v>464</v>
      </c>
      <c r="E18" s="138" t="s">
        <v>465</v>
      </c>
      <c r="F18" s="138" t="s">
        <v>465</v>
      </c>
      <c r="G18" s="138" t="s">
        <v>465</v>
      </c>
      <c r="H18" s="138" t="s">
        <v>211</v>
      </c>
    </row>
    <row r="19" spans="1:10" ht="44.25" customHeight="1">
      <c r="B19" s="137" t="s">
        <v>204</v>
      </c>
      <c r="C19" s="138" t="s">
        <v>409</v>
      </c>
      <c r="D19" s="139" t="s">
        <v>464</v>
      </c>
      <c r="E19" s="139" t="s">
        <v>464</v>
      </c>
      <c r="F19" s="139" t="s">
        <v>464</v>
      </c>
      <c r="G19" s="139" t="s">
        <v>464</v>
      </c>
      <c r="H19" s="138" t="s">
        <v>211</v>
      </c>
    </row>
    <row r="21" spans="1:10">
      <c r="B21" s="456" t="s">
        <v>220</v>
      </c>
      <c r="C21" s="457"/>
      <c r="D21" s="457"/>
      <c r="E21" s="457"/>
    </row>
    <row r="24" spans="1:10">
      <c r="B24" s="77"/>
    </row>
    <row r="25" spans="1:10">
      <c r="A25" s="77" t="s">
        <v>223</v>
      </c>
      <c r="B25" s="77"/>
    </row>
    <row r="26" spans="1:10">
      <c r="A26" s="77"/>
      <c r="B26" s="420" t="s">
        <v>413</v>
      </c>
      <c r="C26" s="421"/>
      <c r="D26" s="421"/>
      <c r="E26" s="421"/>
      <c r="F26" s="421"/>
      <c r="G26" s="421"/>
    </row>
    <row r="27" spans="1:10" ht="14.25" customHeight="1">
      <c r="B27" s="420" t="s">
        <v>273</v>
      </c>
      <c r="C27" s="421"/>
      <c r="D27" s="421"/>
      <c r="E27" s="421"/>
      <c r="F27" s="421"/>
      <c r="G27" s="421"/>
    </row>
    <row r="28" spans="1:10" ht="75" customHeight="1">
      <c r="B28" s="420" t="s">
        <v>351</v>
      </c>
      <c r="C28" s="421"/>
      <c r="D28" s="421"/>
      <c r="E28" s="421"/>
      <c r="F28" s="421"/>
      <c r="G28" s="421"/>
    </row>
    <row r="29" spans="1:10" ht="14.25" customHeight="1">
      <c r="B29" s="420" t="s">
        <v>406</v>
      </c>
      <c r="C29" s="421"/>
      <c r="D29" s="421"/>
      <c r="E29" s="421"/>
      <c r="F29" s="421"/>
      <c r="G29" s="421"/>
    </row>
    <row r="30" spans="1:10" ht="19.5" customHeight="1">
      <c r="B30" s="420" t="s">
        <v>225</v>
      </c>
      <c r="C30" s="421"/>
      <c r="D30" s="421"/>
      <c r="E30" s="421"/>
      <c r="F30" s="421"/>
      <c r="G30" s="421"/>
      <c r="J30">
        <v>4</v>
      </c>
    </row>
    <row r="31" spans="1:10">
      <c r="A31" s="77"/>
      <c r="B31" s="420"/>
      <c r="C31" s="421"/>
      <c r="D31" s="421"/>
      <c r="E31" s="421"/>
    </row>
    <row r="32" spans="1:10">
      <c r="B32" s="420"/>
      <c r="C32" s="421"/>
      <c r="D32" s="421"/>
      <c r="E32" s="421"/>
    </row>
    <row r="33" spans="1:7">
      <c r="B33" s="420"/>
      <c r="C33" s="421"/>
      <c r="D33" s="421"/>
      <c r="E33" s="421"/>
    </row>
    <row r="34" spans="1:7">
      <c r="A34" s="77" t="s">
        <v>224</v>
      </c>
      <c r="B34" s="420"/>
      <c r="C34" s="421"/>
      <c r="D34" s="421"/>
      <c r="E34" s="421"/>
    </row>
    <row r="35" spans="1:7">
      <c r="B35" s="420" t="s">
        <v>268</v>
      </c>
      <c r="C35" s="421"/>
      <c r="D35" s="421"/>
      <c r="E35" s="421"/>
      <c r="F35" s="421"/>
      <c r="G35" s="421"/>
    </row>
    <row r="36" spans="1:7">
      <c r="B36" s="421"/>
      <c r="C36" s="421"/>
      <c r="D36" s="421"/>
      <c r="E36" s="421"/>
      <c r="F36" s="421"/>
      <c r="G36" s="421"/>
    </row>
    <row r="37" spans="1:7" ht="63.75" customHeight="1">
      <c r="B37" s="421"/>
      <c r="C37" s="421"/>
      <c r="D37" s="421"/>
      <c r="E37" s="421"/>
      <c r="F37" s="421"/>
      <c r="G37" s="421"/>
    </row>
    <row r="41" spans="1:7" ht="15" thickBot="1">
      <c r="A41" s="77" t="s">
        <v>226</v>
      </c>
    </row>
    <row r="42" spans="1:7" ht="15" thickBot="1">
      <c r="B42" s="90" t="s">
        <v>227</v>
      </c>
      <c r="C42" s="91" t="s">
        <v>228</v>
      </c>
      <c r="D42" s="91" t="s">
        <v>229</v>
      </c>
      <c r="E42" s="91" t="s">
        <v>230</v>
      </c>
    </row>
    <row r="43" spans="1:7" ht="15" thickBot="1">
      <c r="B43" s="459" t="s">
        <v>231</v>
      </c>
      <c r="C43" s="460"/>
      <c r="D43" s="460"/>
      <c r="E43" s="461"/>
    </row>
    <row r="44" spans="1:7" ht="15" thickBot="1">
      <c r="B44" s="92" t="s">
        <v>232</v>
      </c>
      <c r="C44" s="93">
        <v>1</v>
      </c>
      <c r="D44" s="93" t="s">
        <v>233</v>
      </c>
      <c r="E44" s="93" t="s">
        <v>272</v>
      </c>
    </row>
    <row r="45" spans="1:7" ht="15" thickBot="1">
      <c r="B45" s="92" t="s">
        <v>234</v>
      </c>
      <c r="C45" s="93">
        <v>1</v>
      </c>
      <c r="D45" s="93" t="s">
        <v>233</v>
      </c>
      <c r="E45" s="93" t="s">
        <v>235</v>
      </c>
    </row>
    <row r="46" spans="1:7" ht="15" thickBot="1">
      <c r="B46" s="92" t="s">
        <v>236</v>
      </c>
      <c r="C46" s="93">
        <v>1</v>
      </c>
      <c r="D46" s="93" t="s">
        <v>233</v>
      </c>
      <c r="E46" s="93" t="s">
        <v>237</v>
      </c>
    </row>
    <row r="47" spans="1:7" ht="15" thickBot="1">
      <c r="B47" s="92" t="s">
        <v>238</v>
      </c>
      <c r="C47" s="93">
        <v>1</v>
      </c>
      <c r="D47" s="93" t="s">
        <v>233</v>
      </c>
      <c r="E47" s="93" t="s">
        <v>239</v>
      </c>
    </row>
    <row r="48" spans="1:7" ht="15" thickBot="1">
      <c r="B48" s="92" t="s">
        <v>240</v>
      </c>
      <c r="C48" s="93" t="s">
        <v>282</v>
      </c>
      <c r="D48" s="93" t="s">
        <v>233</v>
      </c>
      <c r="E48" s="93" t="s">
        <v>241</v>
      </c>
    </row>
    <row r="49" spans="2:5" ht="15" thickBot="1">
      <c r="B49" s="92" t="s">
        <v>242</v>
      </c>
      <c r="C49" s="93" t="s">
        <v>243</v>
      </c>
      <c r="D49" s="93" t="s">
        <v>233</v>
      </c>
      <c r="E49" s="93" t="s">
        <v>244</v>
      </c>
    </row>
    <row r="50" spans="2:5" ht="15" thickBot="1">
      <c r="B50" s="92" t="s">
        <v>245</v>
      </c>
      <c r="C50" s="93" t="s">
        <v>243</v>
      </c>
      <c r="D50" s="93" t="s">
        <v>246</v>
      </c>
      <c r="E50" s="93" t="s">
        <v>247</v>
      </c>
    </row>
    <row r="51" spans="2:5" ht="67.5" thickBot="1">
      <c r="B51" s="97" t="s">
        <v>269</v>
      </c>
      <c r="C51" s="96"/>
      <c r="D51" s="96" t="s">
        <v>266</v>
      </c>
      <c r="E51" s="96" t="s">
        <v>270</v>
      </c>
    </row>
    <row r="52" spans="2:5" ht="15" thickBot="1">
      <c r="B52" s="92" t="s">
        <v>248</v>
      </c>
      <c r="C52" s="93">
        <v>1</v>
      </c>
      <c r="D52" s="93" t="s">
        <v>233</v>
      </c>
      <c r="E52" s="94" t="s">
        <v>249</v>
      </c>
    </row>
    <row r="53" spans="2:5" ht="15" thickBot="1">
      <c r="B53" s="92" t="s">
        <v>250</v>
      </c>
      <c r="C53" s="93">
        <v>1</v>
      </c>
      <c r="D53" s="93" t="s">
        <v>233</v>
      </c>
      <c r="E53" s="94" t="s">
        <v>523</v>
      </c>
    </row>
    <row r="54" spans="2:5" ht="15" thickBot="1">
      <c r="B54" s="92" t="s">
        <v>251</v>
      </c>
      <c r="C54" s="93">
        <v>1</v>
      </c>
      <c r="D54" s="93" t="s">
        <v>233</v>
      </c>
      <c r="E54" s="93" t="s">
        <v>252</v>
      </c>
    </row>
    <row r="55" spans="2:5" ht="15" thickBot="1">
      <c r="B55" s="459" t="s">
        <v>253</v>
      </c>
      <c r="C55" s="460"/>
      <c r="D55" s="460"/>
      <c r="E55" s="461"/>
    </row>
    <row r="56" spans="2:5" ht="27.75" thickBot="1">
      <c r="B56" s="92" t="s">
        <v>403</v>
      </c>
      <c r="C56" s="93">
        <v>1</v>
      </c>
      <c r="D56" s="93" t="s">
        <v>233</v>
      </c>
      <c r="E56" s="93" t="s">
        <v>254</v>
      </c>
    </row>
    <row r="57" spans="2:5" ht="15" thickBot="1">
      <c r="B57" s="92" t="s">
        <v>255</v>
      </c>
      <c r="C57" s="93">
        <v>1</v>
      </c>
      <c r="D57" s="93" t="s">
        <v>246</v>
      </c>
      <c r="E57" s="93" t="s">
        <v>256</v>
      </c>
    </row>
    <row r="58" spans="2:5" ht="15" thickBot="1">
      <c r="B58" s="92" t="s">
        <v>257</v>
      </c>
      <c r="C58" s="93">
        <v>1</v>
      </c>
      <c r="D58" s="93" t="s">
        <v>246</v>
      </c>
      <c r="E58" s="93" t="s">
        <v>258</v>
      </c>
    </row>
    <row r="59" spans="2:5" ht="15" thickBot="1">
      <c r="B59" s="92" t="s">
        <v>259</v>
      </c>
      <c r="C59" s="93" t="s">
        <v>260</v>
      </c>
      <c r="D59" s="93" t="s">
        <v>246</v>
      </c>
      <c r="E59" s="93" t="s">
        <v>261</v>
      </c>
    </row>
    <row r="60" spans="2:5" ht="15" thickBot="1">
      <c r="B60" s="459" t="s">
        <v>262</v>
      </c>
      <c r="C60" s="460"/>
      <c r="D60" s="460"/>
      <c r="E60" s="461"/>
    </row>
    <row r="61" spans="2:5" ht="27" thickBot="1">
      <c r="B61" s="92" t="s">
        <v>263</v>
      </c>
      <c r="C61" s="93">
        <v>1</v>
      </c>
      <c r="D61" s="93" t="s">
        <v>233</v>
      </c>
      <c r="E61" s="93" t="s">
        <v>430</v>
      </c>
    </row>
    <row r="62" spans="2:5" ht="27" thickBot="1">
      <c r="B62" s="92" t="s">
        <v>264</v>
      </c>
      <c r="C62" s="93">
        <v>1</v>
      </c>
      <c r="D62" s="93" t="s">
        <v>233</v>
      </c>
      <c r="E62" s="93" t="s">
        <v>429</v>
      </c>
    </row>
    <row r="63" spans="2:5" ht="27" thickBot="1">
      <c r="B63" s="92" t="s">
        <v>265</v>
      </c>
      <c r="C63" s="93">
        <v>1</v>
      </c>
      <c r="D63" s="93" t="s">
        <v>246</v>
      </c>
      <c r="E63" s="93" t="s">
        <v>431</v>
      </c>
    </row>
    <row r="64" spans="2:5">
      <c r="B64" s="95"/>
    </row>
    <row r="65" spans="1:7">
      <c r="B65" s="130" t="s">
        <v>436</v>
      </c>
      <c r="D65" s="132" t="s">
        <v>437</v>
      </c>
      <c r="E65" s="132" t="s">
        <v>438</v>
      </c>
      <c r="F65" s="133" t="s">
        <v>444</v>
      </c>
      <c r="G65" s="132" t="s">
        <v>439</v>
      </c>
    </row>
    <row r="66" spans="1:7" s="130" customFormat="1">
      <c r="D66" s="131">
        <v>0</v>
      </c>
      <c r="E66" s="131">
        <v>0</v>
      </c>
      <c r="F66" s="134" t="s">
        <v>445</v>
      </c>
      <c r="G66" s="131" t="s">
        <v>440</v>
      </c>
    </row>
    <row r="67" spans="1:7" s="130" customFormat="1">
      <c r="D67" s="131">
        <v>1</v>
      </c>
      <c r="E67" s="131">
        <v>0</v>
      </c>
      <c r="F67" s="134" t="s">
        <v>445</v>
      </c>
      <c r="G67" s="131" t="s">
        <v>440</v>
      </c>
    </row>
    <row r="68" spans="1:7" s="130" customFormat="1">
      <c r="D68" s="131">
        <v>0</v>
      </c>
      <c r="E68" s="131">
        <v>1</v>
      </c>
      <c r="F68" s="134" t="s">
        <v>446</v>
      </c>
      <c r="G68" s="131">
        <v>0</v>
      </c>
    </row>
    <row r="69" spans="1:7" s="130" customFormat="1">
      <c r="D69" s="131">
        <v>1</v>
      </c>
      <c r="E69" s="131">
        <v>1</v>
      </c>
      <c r="F69" s="134" t="s">
        <v>441</v>
      </c>
      <c r="G69" s="131">
        <v>1</v>
      </c>
    </row>
    <row r="70" spans="1:7" s="130" customFormat="1">
      <c r="D70" s="131" t="s">
        <v>442</v>
      </c>
      <c r="E70" s="131">
        <v>0</v>
      </c>
      <c r="F70" s="134" t="s">
        <v>447</v>
      </c>
      <c r="G70" s="131">
        <v>0</v>
      </c>
    </row>
    <row r="71" spans="1:7" s="130" customFormat="1">
      <c r="D71" s="131" t="s">
        <v>442</v>
      </c>
      <c r="E71" s="131">
        <v>0</v>
      </c>
      <c r="F71" s="134" t="s">
        <v>448</v>
      </c>
      <c r="G71" s="131">
        <v>1</v>
      </c>
    </row>
    <row r="72" spans="1:7" s="130" customFormat="1">
      <c r="D72" s="130" t="s">
        <v>443</v>
      </c>
    </row>
    <row r="73" spans="1:7" s="130" customFormat="1"/>
    <row r="75" spans="1:7">
      <c r="A75" s="77" t="s">
        <v>271</v>
      </c>
    </row>
    <row r="76" spans="1:7" ht="14.25" customHeight="1">
      <c r="B76" s="469" t="s">
        <v>274</v>
      </c>
      <c r="C76" s="469"/>
      <c r="D76" s="469"/>
      <c r="E76" s="469"/>
      <c r="F76" s="469"/>
      <c r="G76" s="469"/>
    </row>
    <row r="77" spans="1:7">
      <c r="B77" s="98" t="s">
        <v>281</v>
      </c>
      <c r="C77" s="98" t="s">
        <v>427</v>
      </c>
      <c r="D77" s="462" t="s">
        <v>275</v>
      </c>
    </row>
    <row r="78" spans="1:7">
      <c r="B78" s="114"/>
      <c r="C78" s="100"/>
      <c r="D78" s="463"/>
    </row>
    <row r="79" spans="1:7" ht="14.25" customHeight="1">
      <c r="B79" s="99" t="s">
        <v>280</v>
      </c>
      <c r="C79" s="99" t="s">
        <v>279</v>
      </c>
      <c r="D79" s="463"/>
    </row>
    <row r="80" spans="1:7">
      <c r="B80" s="98" t="s">
        <v>281</v>
      </c>
      <c r="C80" s="98" t="s">
        <v>278</v>
      </c>
      <c r="D80" s="462" t="s">
        <v>276</v>
      </c>
    </row>
    <row r="81" spans="1:8">
      <c r="B81" s="100"/>
      <c r="C81" s="100"/>
      <c r="D81" s="463"/>
    </row>
    <row r="82" spans="1:8">
      <c r="B82" s="99" t="s">
        <v>280</v>
      </c>
      <c r="C82" s="99" t="s">
        <v>311</v>
      </c>
      <c r="D82" s="463"/>
    </row>
    <row r="83" spans="1:8">
      <c r="B83" s="98" t="s">
        <v>281</v>
      </c>
      <c r="C83" s="98" t="s">
        <v>312</v>
      </c>
      <c r="D83" s="462" t="s">
        <v>284</v>
      </c>
    </row>
    <row r="84" spans="1:8">
      <c r="B84" s="100"/>
      <c r="C84" s="100"/>
      <c r="D84" s="463"/>
    </row>
    <row r="85" spans="1:8">
      <c r="B85" s="99" t="s">
        <v>280</v>
      </c>
      <c r="C85" s="99" t="s">
        <v>428</v>
      </c>
      <c r="D85" s="463"/>
    </row>
    <row r="87" spans="1:8">
      <c r="B87" s="468" t="s">
        <v>285</v>
      </c>
      <c r="C87" s="469"/>
      <c r="D87" s="469"/>
      <c r="E87" s="469"/>
      <c r="F87" s="469"/>
      <c r="G87" s="469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392</v>
      </c>
      <c r="C89" s="454" t="s">
        <v>399</v>
      </c>
      <c r="D89" s="455"/>
      <c r="E89" s="118"/>
      <c r="F89" s="118"/>
      <c r="G89" s="118"/>
    </row>
    <row r="90" spans="1:8">
      <c r="B90" s="119" t="s">
        <v>393</v>
      </c>
      <c r="C90" s="454" t="s">
        <v>395</v>
      </c>
      <c r="D90" s="455"/>
      <c r="E90" s="118"/>
      <c r="F90" s="118"/>
      <c r="G90" s="118"/>
    </row>
    <row r="91" spans="1:8">
      <c r="B91" s="119" t="s">
        <v>394</v>
      </c>
      <c r="C91" s="454" t="s">
        <v>397</v>
      </c>
      <c r="D91" s="455"/>
      <c r="E91" s="118"/>
      <c r="F91" s="118"/>
      <c r="G91" s="118"/>
    </row>
    <row r="92" spans="1:8" ht="19.5" customHeight="1">
      <c r="B92" s="119" t="s">
        <v>396</v>
      </c>
      <c r="C92" s="454" t="s">
        <v>398</v>
      </c>
      <c r="D92" s="455"/>
    </row>
    <row r="95" spans="1:8" ht="42.75" customHeight="1">
      <c r="A95" s="88" t="s">
        <v>287</v>
      </c>
    </row>
    <row r="96" spans="1:8" ht="25.5" customHeight="1">
      <c r="B96" s="110" t="s">
        <v>297</v>
      </c>
      <c r="C96" s="110" t="s">
        <v>308</v>
      </c>
      <c r="D96" s="464" t="s">
        <v>307</v>
      </c>
      <c r="E96" s="464"/>
      <c r="F96" s="464"/>
      <c r="G96" s="464"/>
      <c r="H96" s="110" t="s">
        <v>316</v>
      </c>
    </row>
    <row r="97" spans="2:8">
      <c r="B97" s="105" t="s">
        <v>288</v>
      </c>
      <c r="C97" s="101" t="s">
        <v>309</v>
      </c>
      <c r="D97" s="452" t="s">
        <v>410</v>
      </c>
      <c r="E97" s="453"/>
      <c r="F97" s="453"/>
      <c r="G97" s="453"/>
      <c r="H97" s="108" t="s">
        <v>319</v>
      </c>
    </row>
    <row r="98" spans="2:8" ht="46.5" customHeight="1">
      <c r="B98" s="105" t="s">
        <v>289</v>
      </c>
      <c r="C98" s="101" t="s">
        <v>309</v>
      </c>
      <c r="D98" s="452" t="s">
        <v>411</v>
      </c>
      <c r="E98" s="453"/>
      <c r="F98" s="453"/>
      <c r="G98" s="453"/>
      <c r="H98" s="108" t="s">
        <v>319</v>
      </c>
    </row>
    <row r="99" spans="2:8" ht="101.25" customHeight="1">
      <c r="B99" s="106" t="s">
        <v>290</v>
      </c>
      <c r="C99" s="102" t="s">
        <v>310</v>
      </c>
      <c r="D99" s="452" t="s">
        <v>595</v>
      </c>
      <c r="E99" s="453"/>
      <c r="F99" s="453"/>
      <c r="G99" s="453"/>
      <c r="H99" s="108" t="s">
        <v>320</v>
      </c>
    </row>
    <row r="100" spans="2:8" ht="45.75" customHeight="1">
      <c r="B100" s="105" t="s">
        <v>291</v>
      </c>
      <c r="C100" s="103" t="s">
        <v>310</v>
      </c>
      <c r="D100" s="452" t="s">
        <v>432</v>
      </c>
      <c r="E100" s="453"/>
      <c r="F100" s="453"/>
      <c r="G100" s="453"/>
      <c r="H100" s="108" t="s">
        <v>320</v>
      </c>
    </row>
    <row r="101" spans="2:8">
      <c r="B101" s="105" t="s">
        <v>292</v>
      </c>
      <c r="C101" s="104" t="s">
        <v>309</v>
      </c>
      <c r="D101" s="452" t="s">
        <v>412</v>
      </c>
      <c r="E101" s="453"/>
      <c r="F101" s="453"/>
      <c r="G101" s="453"/>
      <c r="H101" s="108" t="s">
        <v>319</v>
      </c>
    </row>
    <row r="102" spans="2:8">
      <c r="B102" s="105" t="s">
        <v>293</v>
      </c>
      <c r="C102" s="104" t="s">
        <v>309</v>
      </c>
      <c r="D102" s="452" t="s">
        <v>414</v>
      </c>
      <c r="E102" s="453"/>
      <c r="F102" s="453"/>
      <c r="G102" s="453"/>
      <c r="H102" s="108" t="s">
        <v>319</v>
      </c>
    </row>
    <row r="103" spans="2:8" ht="48" customHeight="1">
      <c r="B103" s="105" t="s">
        <v>294</v>
      </c>
      <c r="C103" s="103" t="s">
        <v>310</v>
      </c>
      <c r="D103" s="452" t="s">
        <v>415</v>
      </c>
      <c r="E103" s="453"/>
      <c r="F103" s="453"/>
      <c r="G103" s="453"/>
      <c r="H103" s="108" t="s">
        <v>322</v>
      </c>
    </row>
    <row r="104" spans="2:8">
      <c r="B104" s="105" t="s">
        <v>295</v>
      </c>
      <c r="C104" s="104" t="s">
        <v>309</v>
      </c>
      <c r="D104" s="452" t="s">
        <v>416</v>
      </c>
      <c r="E104" s="453"/>
      <c r="F104" s="453"/>
      <c r="G104" s="453"/>
      <c r="H104" s="108" t="s">
        <v>321</v>
      </c>
    </row>
    <row r="105" spans="2:8" ht="47.25" customHeight="1">
      <c r="B105" s="105" t="s">
        <v>296</v>
      </c>
      <c r="C105" s="104" t="s">
        <v>309</v>
      </c>
      <c r="D105" s="452" t="s">
        <v>417</v>
      </c>
      <c r="E105" s="453"/>
      <c r="F105" s="453"/>
      <c r="G105" s="453"/>
      <c r="H105" s="108" t="s">
        <v>321</v>
      </c>
    </row>
    <row r="106" spans="2:8" ht="49.5" customHeight="1">
      <c r="B106" s="106" t="s">
        <v>346</v>
      </c>
      <c r="C106" s="103" t="s">
        <v>310</v>
      </c>
      <c r="D106" s="452" t="s">
        <v>433</v>
      </c>
      <c r="E106" s="453"/>
      <c r="F106" s="453"/>
      <c r="G106" s="453"/>
      <c r="H106" s="108" t="s">
        <v>322</v>
      </c>
    </row>
    <row r="107" spans="2:8" ht="113.25" customHeight="1">
      <c r="B107" s="106" t="s">
        <v>299</v>
      </c>
      <c r="C107" s="103" t="s">
        <v>310</v>
      </c>
      <c r="D107" s="452" t="s">
        <v>639</v>
      </c>
      <c r="E107" s="453"/>
      <c r="F107" s="453"/>
      <c r="G107" s="453"/>
      <c r="H107" s="108" t="s">
        <v>322</v>
      </c>
    </row>
    <row r="108" spans="2:8" ht="28.5">
      <c r="B108" s="107" t="s">
        <v>300</v>
      </c>
      <c r="C108" s="104" t="s">
        <v>309</v>
      </c>
      <c r="D108" s="452" t="s">
        <v>434</v>
      </c>
      <c r="E108" s="453"/>
      <c r="F108" s="453"/>
      <c r="G108" s="453"/>
      <c r="H108" s="109" t="s">
        <v>317</v>
      </c>
    </row>
    <row r="109" spans="2:8" ht="32.25" customHeight="1">
      <c r="B109" s="106" t="s">
        <v>301</v>
      </c>
      <c r="C109" s="104" t="s">
        <v>309</v>
      </c>
      <c r="D109" s="452" t="s">
        <v>313</v>
      </c>
      <c r="E109" s="453"/>
      <c r="F109" s="453"/>
      <c r="G109" s="453"/>
      <c r="H109" s="108" t="s">
        <v>321</v>
      </c>
    </row>
    <row r="110" spans="2:8" ht="35.25" customHeight="1">
      <c r="B110" s="106" t="s">
        <v>340</v>
      </c>
      <c r="C110" s="103" t="s">
        <v>310</v>
      </c>
      <c r="D110" s="452" t="s">
        <v>435</v>
      </c>
      <c r="E110" s="453"/>
      <c r="F110" s="453"/>
      <c r="G110" s="453"/>
      <c r="H110" s="108" t="s">
        <v>319</v>
      </c>
    </row>
    <row r="111" spans="2:8" ht="28.5">
      <c r="B111" s="107" t="s">
        <v>339</v>
      </c>
      <c r="C111" s="103" t="s">
        <v>310</v>
      </c>
      <c r="D111" s="452" t="s">
        <v>314</v>
      </c>
      <c r="E111" s="453"/>
      <c r="F111" s="453"/>
      <c r="G111" s="453"/>
      <c r="H111" s="108" t="s">
        <v>319</v>
      </c>
    </row>
    <row r="112" spans="2:8" ht="179.25" customHeight="1">
      <c r="B112" s="105" t="s">
        <v>302</v>
      </c>
      <c r="C112" s="103" t="s">
        <v>310</v>
      </c>
      <c r="D112" s="452" t="s">
        <v>518</v>
      </c>
      <c r="E112" s="453"/>
      <c r="F112" s="453"/>
      <c r="G112" s="453"/>
      <c r="H112" s="108" t="s">
        <v>320</v>
      </c>
    </row>
    <row r="113" spans="2:10">
      <c r="B113" s="105" t="s">
        <v>303</v>
      </c>
      <c r="C113" s="103" t="s">
        <v>310</v>
      </c>
      <c r="D113" s="452" t="s">
        <v>341</v>
      </c>
      <c r="E113" s="453"/>
      <c r="F113" s="453"/>
      <c r="G113" s="453"/>
      <c r="H113" s="108" t="s">
        <v>320</v>
      </c>
    </row>
    <row r="114" spans="2:10">
      <c r="B114" s="105" t="s">
        <v>304</v>
      </c>
      <c r="C114" s="103" t="s">
        <v>310</v>
      </c>
      <c r="D114" s="452" t="s">
        <v>342</v>
      </c>
      <c r="E114" s="453"/>
      <c r="F114" s="453"/>
      <c r="G114" s="453"/>
      <c r="H114" s="108" t="s">
        <v>320</v>
      </c>
    </row>
    <row r="115" spans="2:10">
      <c r="B115" s="105" t="s">
        <v>305</v>
      </c>
      <c r="C115" s="104" t="s">
        <v>309</v>
      </c>
      <c r="D115" s="452" t="s">
        <v>334</v>
      </c>
      <c r="E115" s="453"/>
      <c r="F115" s="453"/>
      <c r="G115" s="453"/>
      <c r="H115" s="108" t="s">
        <v>318</v>
      </c>
    </row>
    <row r="116" spans="2:10">
      <c r="B116" s="105" t="s">
        <v>306</v>
      </c>
      <c r="C116" s="104" t="s">
        <v>309</v>
      </c>
      <c r="D116" s="452" t="s">
        <v>315</v>
      </c>
      <c r="E116" s="453"/>
      <c r="F116" s="453"/>
      <c r="G116" s="453"/>
      <c r="H116" s="108" t="s">
        <v>318</v>
      </c>
    </row>
    <row r="118" spans="2:10" ht="15" thickBot="1">
      <c r="B118" s="77" t="s">
        <v>345</v>
      </c>
    </row>
    <row r="119" spans="2:10" ht="20.25" customHeight="1" thickBot="1">
      <c r="B119" s="135" t="s">
        <v>347</v>
      </c>
      <c r="C119" s="136" t="s">
        <v>455</v>
      </c>
      <c r="D119" s="451" t="s">
        <v>454</v>
      </c>
      <c r="E119" s="450"/>
      <c r="F119" s="449" t="s">
        <v>348</v>
      </c>
      <c r="G119" s="450"/>
      <c r="H119" s="451" t="s">
        <v>349</v>
      </c>
      <c r="I119" s="450"/>
      <c r="J119" s="129"/>
    </row>
    <row r="120" spans="2:10" ht="144.75" customHeight="1" thickBot="1">
      <c r="B120" s="112" t="s">
        <v>91</v>
      </c>
      <c r="C120" s="126" t="s">
        <v>449</v>
      </c>
      <c r="D120" s="413"/>
      <c r="E120" s="414"/>
      <c r="F120" s="413" t="s">
        <v>354</v>
      </c>
      <c r="G120" s="414"/>
      <c r="H120" s="413"/>
      <c r="I120" s="414"/>
    </row>
    <row r="121" spans="2:10" ht="147" customHeight="1" thickBot="1">
      <c r="B121" s="112" t="s">
        <v>92</v>
      </c>
      <c r="C121" s="126" t="s">
        <v>450</v>
      </c>
      <c r="D121" s="413"/>
      <c r="E121" s="414"/>
      <c r="F121" s="413" t="s">
        <v>355</v>
      </c>
      <c r="G121" s="414"/>
      <c r="H121" s="413" t="s">
        <v>350</v>
      </c>
      <c r="I121" s="414"/>
    </row>
    <row r="122" spans="2:10" ht="142.5" customHeight="1" thickBot="1">
      <c r="B122" s="112" t="s">
        <v>179</v>
      </c>
      <c r="C122" s="157" t="s">
        <v>567</v>
      </c>
      <c r="D122" s="413"/>
      <c r="E122" s="414"/>
      <c r="F122" s="413" t="s">
        <v>356</v>
      </c>
      <c r="G122" s="414"/>
      <c r="H122" s="413" t="s">
        <v>350</v>
      </c>
      <c r="I122" s="414"/>
    </row>
    <row r="123" spans="2:10" ht="145.5" customHeight="1" thickBot="1">
      <c r="B123" s="112" t="s">
        <v>59</v>
      </c>
      <c r="C123" s="126" t="s">
        <v>451</v>
      </c>
      <c r="D123" s="413"/>
      <c r="E123" s="414"/>
      <c r="F123" s="413" t="s">
        <v>566</v>
      </c>
      <c r="G123" s="414"/>
      <c r="H123" s="413" t="s">
        <v>565</v>
      </c>
      <c r="I123" s="448"/>
    </row>
    <row r="124" spans="2:10" ht="143.25" customHeight="1" thickBot="1">
      <c r="B124" s="112" t="s">
        <v>182</v>
      </c>
      <c r="C124" s="126" t="s">
        <v>452</v>
      </c>
      <c r="D124" s="413"/>
      <c r="E124" s="414"/>
      <c r="F124" s="413" t="s">
        <v>357</v>
      </c>
      <c r="G124" s="414"/>
      <c r="H124" s="413" t="s">
        <v>353</v>
      </c>
      <c r="I124" s="448"/>
    </row>
    <row r="125" spans="2:10" ht="140.25" customHeight="1" thickBot="1">
      <c r="B125" s="112" t="s">
        <v>184</v>
      </c>
      <c r="C125" s="126" t="s">
        <v>453</v>
      </c>
      <c r="D125" s="413"/>
      <c r="E125" s="414"/>
      <c r="F125" s="413" t="s">
        <v>357</v>
      </c>
      <c r="G125" s="414"/>
      <c r="H125" s="413" t="s">
        <v>352</v>
      </c>
      <c r="I125" s="448"/>
    </row>
    <row r="127" spans="2:10">
      <c r="B127" s="420" t="s">
        <v>456</v>
      </c>
      <c r="C127" s="421"/>
      <c r="D127" s="421"/>
    </row>
    <row r="129" spans="2:5" ht="15" thickBot="1">
      <c r="B129" s="77" t="s">
        <v>343</v>
      </c>
    </row>
    <row r="130" spans="2:5" ht="16.5" thickBot="1">
      <c r="B130" s="111" t="s">
        <v>332</v>
      </c>
      <c r="C130" s="141" t="s">
        <v>298</v>
      </c>
      <c r="D130" s="413" t="s">
        <v>467</v>
      </c>
      <c r="E130" s="414"/>
    </row>
    <row r="131" spans="2:5" ht="50.25" customHeight="1" thickBot="1">
      <c r="B131" s="112" t="s">
        <v>96</v>
      </c>
      <c r="C131" s="130" t="s">
        <v>323</v>
      </c>
      <c r="D131" s="415"/>
      <c r="E131" s="416"/>
    </row>
    <row r="132" spans="2:5" ht="48.75" customHeight="1" thickBot="1">
      <c r="B132" s="112" t="s">
        <v>98</v>
      </c>
      <c r="C132" s="126" t="s">
        <v>324</v>
      </c>
      <c r="D132" s="413"/>
      <c r="E132" s="414"/>
    </row>
    <row r="133" spans="2:5" ht="88.5" customHeight="1" thickBot="1">
      <c r="B133" s="112" t="s">
        <v>97</v>
      </c>
      <c r="C133" s="126" t="s">
        <v>325</v>
      </c>
      <c r="D133" s="413"/>
      <c r="E133" s="414"/>
    </row>
    <row r="134" spans="2:5" ht="149.25" customHeight="1" thickBot="1">
      <c r="B134" s="113" t="s">
        <v>54</v>
      </c>
      <c r="C134" s="126" t="s">
        <v>326</v>
      </c>
      <c r="D134" s="413"/>
      <c r="E134" s="414"/>
    </row>
    <row r="135" spans="2:5" ht="149.25" customHeight="1" thickBot="1">
      <c r="B135" s="113" t="s">
        <v>53</v>
      </c>
      <c r="C135" s="126" t="s">
        <v>327</v>
      </c>
      <c r="D135" s="413"/>
      <c r="E135" s="414"/>
    </row>
    <row r="136" spans="2:5" ht="149.25" customHeight="1" thickBot="1">
      <c r="B136" s="113" t="s">
        <v>52</v>
      </c>
      <c r="C136" s="126" t="s">
        <v>328</v>
      </c>
      <c r="D136" s="413"/>
      <c r="E136" s="414"/>
    </row>
    <row r="137" spans="2:5" ht="145.5" customHeight="1" thickBot="1">
      <c r="B137" s="113" t="s">
        <v>101</v>
      </c>
      <c r="C137" s="126" t="s">
        <v>329</v>
      </c>
      <c r="D137" s="413"/>
      <c r="E137" s="414"/>
    </row>
    <row r="138" spans="2:5" ht="148.5" customHeight="1" thickBot="1">
      <c r="B138" s="113" t="s">
        <v>525</v>
      </c>
      <c r="C138" s="126" t="s">
        <v>333</v>
      </c>
      <c r="D138" s="413"/>
      <c r="E138" s="414"/>
    </row>
    <row r="139" spans="2:5" ht="163.5" customHeight="1" thickBot="1">
      <c r="B139" s="113" t="s">
        <v>51</v>
      </c>
      <c r="C139" s="126" t="s">
        <v>330</v>
      </c>
      <c r="D139" s="413"/>
      <c r="E139" s="414"/>
    </row>
    <row r="140" spans="2:5" ht="150.75" customHeight="1" thickBot="1">
      <c r="B140" s="113" t="s">
        <v>55</v>
      </c>
      <c r="C140" s="126" t="s">
        <v>331</v>
      </c>
      <c r="D140" s="413"/>
      <c r="E140" s="414"/>
    </row>
    <row r="142" spans="2:5" ht="32.25" customHeight="1">
      <c r="B142" s="420"/>
      <c r="C142" s="421"/>
      <c r="D142" s="421"/>
    </row>
    <row r="143" spans="2:5" s="130" customFormat="1">
      <c r="B143" s="127"/>
      <c r="C143" s="128"/>
      <c r="D143" s="128"/>
    </row>
    <row r="144" spans="2:5" s="130" customFormat="1">
      <c r="B144" s="127"/>
      <c r="C144" s="128"/>
      <c r="D144" s="128"/>
    </row>
    <row r="145" spans="1:7" ht="15" thickBot="1">
      <c r="B145" s="77" t="s">
        <v>344</v>
      </c>
    </row>
    <row r="146" spans="1:7" ht="16.5" thickBot="1">
      <c r="B146" s="422" t="s">
        <v>337</v>
      </c>
      <c r="C146" s="423"/>
      <c r="D146" s="422" t="s">
        <v>298</v>
      </c>
      <c r="E146" s="430"/>
      <c r="F146" s="431"/>
      <c r="G146" s="432"/>
    </row>
    <row r="147" spans="1:7" ht="305.25" customHeight="1" thickBot="1">
      <c r="B147" s="424" t="s">
        <v>638</v>
      </c>
      <c r="C147" s="425"/>
      <c r="D147" s="426" t="s">
        <v>533</v>
      </c>
      <c r="E147" s="427"/>
      <c r="F147" s="428"/>
      <c r="G147" s="429"/>
    </row>
    <row r="148" spans="1:7" ht="45.75" customHeight="1" thickBot="1">
      <c r="B148" s="424" t="s">
        <v>335</v>
      </c>
      <c r="C148" s="425"/>
      <c r="D148" s="413" t="s">
        <v>336</v>
      </c>
      <c r="E148" s="433"/>
      <c r="F148" s="434"/>
      <c r="G148" s="435"/>
    </row>
    <row r="149" spans="1:7" ht="15" customHeight="1"/>
    <row r="150" spans="1:7" ht="41.25" customHeight="1">
      <c r="B150" s="420" t="s">
        <v>468</v>
      </c>
      <c r="C150" s="421"/>
      <c r="D150" s="421"/>
      <c r="E150" s="421"/>
      <c r="F150" s="421"/>
      <c r="G150" s="421"/>
    </row>
    <row r="154" spans="1:7" ht="28.5">
      <c r="A154" s="88" t="s">
        <v>338</v>
      </c>
    </row>
    <row r="155" spans="1:7" ht="56.25" customHeight="1">
      <c r="B155" s="420" t="s">
        <v>469</v>
      </c>
      <c r="C155" s="421"/>
      <c r="D155" s="421"/>
      <c r="E155" s="421"/>
      <c r="F155" s="421"/>
      <c r="G155" s="421"/>
    </row>
    <row r="156" spans="1:7">
      <c r="B156" s="77" t="s">
        <v>358</v>
      </c>
    </row>
    <row r="157" spans="1:7">
      <c r="B157" s="68" t="s">
        <v>522</v>
      </c>
      <c r="C157" s="68" t="s">
        <v>60</v>
      </c>
      <c r="D157" s="70" t="s">
        <v>66</v>
      </c>
      <c r="E157" s="70" t="s">
        <v>67</v>
      </c>
      <c r="F157" s="70" t="s">
        <v>69</v>
      </c>
      <c r="G157" s="68" t="s">
        <v>62</v>
      </c>
    </row>
    <row r="158" spans="1:7" ht="42.75">
      <c r="B158" s="115" t="s">
        <v>360</v>
      </c>
      <c r="C158" s="71" t="s">
        <v>151</v>
      </c>
      <c r="D158" s="71" t="s">
        <v>150</v>
      </c>
      <c r="E158" s="71"/>
      <c r="F158" s="69"/>
      <c r="G158" s="73" t="s">
        <v>70</v>
      </c>
    </row>
    <row r="159" spans="1:7" ht="42.75">
      <c r="B159" s="69"/>
      <c r="C159" s="71" t="s">
        <v>152</v>
      </c>
      <c r="D159" s="71" t="s">
        <v>157</v>
      </c>
      <c r="E159" s="71"/>
      <c r="F159" s="69"/>
      <c r="G159" s="73" t="s">
        <v>70</v>
      </c>
    </row>
    <row r="160" spans="1:7" ht="42.75">
      <c r="B160" s="69"/>
      <c r="C160" s="71" t="s">
        <v>153</v>
      </c>
      <c r="D160" s="71" t="s">
        <v>154</v>
      </c>
      <c r="E160" s="71" t="s">
        <v>175</v>
      </c>
      <c r="F160" s="69"/>
      <c r="G160" s="73" t="s">
        <v>70</v>
      </c>
    </row>
    <row r="162" spans="1:8">
      <c r="B162" s="420" t="s">
        <v>470</v>
      </c>
      <c r="C162" s="421"/>
      <c r="D162" s="421"/>
      <c r="E162" s="421"/>
      <c r="F162" s="421"/>
      <c r="G162" s="421"/>
    </row>
    <row r="163" spans="1:8">
      <c r="B163" s="421"/>
      <c r="C163" s="421"/>
      <c r="D163" s="421"/>
      <c r="E163" s="421"/>
      <c r="F163" s="421"/>
      <c r="G163" s="421"/>
    </row>
    <row r="165" spans="1:8">
      <c r="B165" s="77" t="s">
        <v>359</v>
      </c>
    </row>
    <row r="166" spans="1:8">
      <c r="B166" s="70" t="s">
        <v>71</v>
      </c>
      <c r="C166" s="70" t="s">
        <v>72</v>
      </c>
      <c r="D166" s="70" t="s">
        <v>63</v>
      </c>
      <c r="E166" s="70" t="s">
        <v>156</v>
      </c>
      <c r="F166" s="70" t="s">
        <v>64</v>
      </c>
      <c r="G166" s="70" t="s">
        <v>65</v>
      </c>
      <c r="H166" s="68" t="s">
        <v>62</v>
      </c>
    </row>
    <row r="167" spans="1:8" ht="96.75" customHeight="1">
      <c r="B167" s="71" t="s">
        <v>73</v>
      </c>
      <c r="C167" s="69" t="s">
        <v>77</v>
      </c>
      <c r="D167" s="71" t="s">
        <v>75</v>
      </c>
      <c r="E167" s="71" t="s">
        <v>155</v>
      </c>
      <c r="F167" s="71"/>
      <c r="G167" s="69"/>
      <c r="H167" s="72" t="s">
        <v>80</v>
      </c>
    </row>
    <row r="168" spans="1:8" ht="38.25" customHeight="1">
      <c r="B168" s="71" t="s">
        <v>74</v>
      </c>
      <c r="C168" s="71" t="s">
        <v>79</v>
      </c>
      <c r="D168" s="71" t="s">
        <v>68</v>
      </c>
      <c r="E168" s="71" t="s">
        <v>155</v>
      </c>
      <c r="F168" s="69"/>
      <c r="G168" s="69"/>
      <c r="H168" s="72"/>
    </row>
    <row r="170" spans="1:8">
      <c r="B170" s="420" t="s">
        <v>471</v>
      </c>
      <c r="C170" s="421"/>
      <c r="D170" s="421"/>
      <c r="E170" s="421"/>
      <c r="F170" s="421"/>
      <c r="G170" s="421"/>
    </row>
    <row r="171" spans="1:8" ht="57.75" customHeight="1">
      <c r="B171" s="421"/>
      <c r="C171" s="421"/>
      <c r="D171" s="421"/>
      <c r="E171" s="421"/>
      <c r="F171" s="421"/>
      <c r="G171" s="421"/>
    </row>
    <row r="175" spans="1:8" ht="28.5">
      <c r="A175" s="88" t="s">
        <v>361</v>
      </c>
    </row>
    <row r="176" spans="1:8" ht="28.5" customHeight="1">
      <c r="B176" s="420" t="s">
        <v>472</v>
      </c>
      <c r="C176" s="421"/>
      <c r="D176" s="421"/>
      <c r="E176" s="421"/>
      <c r="F176" s="421"/>
      <c r="G176" s="421"/>
    </row>
    <row r="178" spans="2:6">
      <c r="B178" s="77" t="s">
        <v>362</v>
      </c>
    </row>
    <row r="179" spans="2:6">
      <c r="B179" s="110" t="s">
        <v>363</v>
      </c>
      <c r="C179" s="439" t="s">
        <v>364</v>
      </c>
      <c r="D179" s="440"/>
      <c r="E179" s="441"/>
    </row>
    <row r="180" spans="2:6" ht="33.75" customHeight="1">
      <c r="B180" s="87" t="s">
        <v>367</v>
      </c>
      <c r="C180" s="417" t="s">
        <v>369</v>
      </c>
      <c r="D180" s="418"/>
      <c r="E180" s="419"/>
    </row>
    <row r="181" spans="2:6" ht="32.25" customHeight="1">
      <c r="B181" s="87" t="s">
        <v>365</v>
      </c>
      <c r="C181" s="417" t="s">
        <v>473</v>
      </c>
      <c r="D181" s="418"/>
      <c r="E181" s="419"/>
    </row>
    <row r="182" spans="2:6" ht="14.25" customHeight="1">
      <c r="B182" s="87" t="s">
        <v>366</v>
      </c>
      <c r="C182" s="417" t="s">
        <v>368</v>
      </c>
      <c r="D182" s="418"/>
      <c r="E182" s="419"/>
    </row>
    <row r="185" spans="2:6">
      <c r="B185" s="66" t="s">
        <v>370</v>
      </c>
      <c r="C185" s="65"/>
      <c r="D185" s="65"/>
      <c r="E185" s="65"/>
      <c r="F185" s="65"/>
    </row>
    <row r="186" spans="2:6">
      <c r="B186" s="445" t="s">
        <v>81</v>
      </c>
      <c r="C186" s="79" t="s">
        <v>267</v>
      </c>
      <c r="D186" s="116" t="s">
        <v>401</v>
      </c>
      <c r="E186" s="79" t="s">
        <v>286</v>
      </c>
      <c r="F186" s="79" t="s">
        <v>619</v>
      </c>
    </row>
    <row r="187" spans="2:6">
      <c r="B187" s="446"/>
      <c r="C187" s="79" t="s">
        <v>87</v>
      </c>
      <c r="D187" s="80">
        <v>12</v>
      </c>
      <c r="E187" s="79" t="s">
        <v>90</v>
      </c>
      <c r="F187" s="79" t="s">
        <v>140</v>
      </c>
    </row>
    <row r="188" spans="2:6">
      <c r="B188" s="447"/>
      <c r="C188" s="79" t="s">
        <v>88</v>
      </c>
      <c r="D188" s="80">
        <v>32</v>
      </c>
      <c r="E188" s="79" t="s">
        <v>283</v>
      </c>
      <c r="F188" s="79" t="s">
        <v>141</v>
      </c>
    </row>
    <row r="190" spans="2:6">
      <c r="B190" s="110" t="s">
        <v>371</v>
      </c>
      <c r="C190" s="439" t="s">
        <v>364</v>
      </c>
      <c r="D190" s="440"/>
      <c r="E190" s="441"/>
    </row>
    <row r="191" spans="2:6" ht="34.5" customHeight="1">
      <c r="B191" s="87" t="s">
        <v>372</v>
      </c>
      <c r="C191" s="417" t="s">
        <v>373</v>
      </c>
      <c r="D191" s="418"/>
      <c r="E191" s="419"/>
    </row>
    <row r="192" spans="2:6">
      <c r="B192" s="87" t="s">
        <v>374</v>
      </c>
      <c r="C192" s="417" t="s">
        <v>376</v>
      </c>
      <c r="D192" s="418"/>
      <c r="E192" s="419"/>
    </row>
    <row r="193" spans="2:7">
      <c r="B193" s="87" t="s">
        <v>375</v>
      </c>
      <c r="C193" s="417" t="s">
        <v>380</v>
      </c>
      <c r="D193" s="418"/>
      <c r="E193" s="419"/>
    </row>
    <row r="194" spans="2:7" ht="53.25" customHeight="1">
      <c r="B194" s="87" t="s">
        <v>277</v>
      </c>
      <c r="C194" s="417" t="s">
        <v>596</v>
      </c>
      <c r="D194" s="418"/>
      <c r="E194" s="419"/>
    </row>
    <row r="195" spans="2:7" ht="26.25" customHeight="1">
      <c r="B195" s="87" t="s">
        <v>377</v>
      </c>
      <c r="C195" s="417" t="s">
        <v>379</v>
      </c>
      <c r="D195" s="418"/>
      <c r="E195" s="419"/>
    </row>
    <row r="196" spans="2:7" ht="27.75" customHeight="1">
      <c r="B196" s="87" t="s">
        <v>378</v>
      </c>
      <c r="C196" s="417" t="s">
        <v>381</v>
      </c>
      <c r="D196" s="418"/>
      <c r="E196" s="419"/>
    </row>
    <row r="198" spans="2:7">
      <c r="B198" s="66" t="s">
        <v>382</v>
      </c>
    </row>
    <row r="199" spans="2:7">
      <c r="B199" s="81" t="s">
        <v>139</v>
      </c>
      <c r="C199" s="81" t="s">
        <v>93</v>
      </c>
      <c r="D199" s="81" t="s">
        <v>386</v>
      </c>
      <c r="E199" s="81" t="s">
        <v>387</v>
      </c>
      <c r="F199" s="82" t="s">
        <v>143</v>
      </c>
      <c r="G199" s="81" t="s">
        <v>142</v>
      </c>
    </row>
    <row r="200" spans="2:7">
      <c r="B200" s="442" t="s">
        <v>144</v>
      </c>
      <c r="C200" s="82" t="s">
        <v>89</v>
      </c>
      <c r="D200" s="82">
        <v>11</v>
      </c>
      <c r="E200" s="82">
        <v>11</v>
      </c>
      <c r="F200" s="82" t="s">
        <v>91</v>
      </c>
      <c r="G200" s="81" t="s">
        <v>192</v>
      </c>
    </row>
    <row r="201" spans="2:7">
      <c r="B201" s="443"/>
      <c r="C201" s="81" t="s">
        <v>82</v>
      </c>
      <c r="D201" s="81">
        <v>10</v>
      </c>
      <c r="E201" s="82">
        <v>10</v>
      </c>
      <c r="F201" s="82" t="s">
        <v>92</v>
      </c>
      <c r="G201" s="81" t="s">
        <v>193</v>
      </c>
    </row>
    <row r="202" spans="2:7">
      <c r="B202" s="443"/>
      <c r="C202" s="81" t="s">
        <v>83</v>
      </c>
      <c r="D202" s="81">
        <v>9</v>
      </c>
      <c r="E202" s="82">
        <v>9</v>
      </c>
      <c r="F202" s="81" t="s">
        <v>179</v>
      </c>
      <c r="G202" s="81" t="s">
        <v>194</v>
      </c>
    </row>
    <row r="203" spans="2:7">
      <c r="B203" s="443"/>
      <c r="C203" s="81" t="s">
        <v>84</v>
      </c>
      <c r="D203" s="81">
        <v>8</v>
      </c>
      <c r="E203" s="82">
        <v>8</v>
      </c>
      <c r="F203" s="81" t="s">
        <v>59</v>
      </c>
      <c r="G203" s="81" t="s">
        <v>194</v>
      </c>
    </row>
    <row r="204" spans="2:7">
      <c r="B204" s="443"/>
      <c r="C204" s="81" t="s">
        <v>85</v>
      </c>
      <c r="D204" s="81">
        <v>7</v>
      </c>
      <c r="E204" s="82">
        <v>2</v>
      </c>
      <c r="F204" s="81" t="s">
        <v>182</v>
      </c>
      <c r="G204" s="81" t="s">
        <v>195</v>
      </c>
    </row>
    <row r="205" spans="2:7">
      <c r="B205" s="444"/>
      <c r="C205" s="81" t="s">
        <v>86</v>
      </c>
      <c r="D205" s="81">
        <v>1</v>
      </c>
      <c r="E205" s="82">
        <v>0</v>
      </c>
      <c r="F205" s="81" t="s">
        <v>184</v>
      </c>
      <c r="G205" s="81" t="s">
        <v>195</v>
      </c>
    </row>
    <row r="206" spans="2:7">
      <c r="B206" s="436" t="s">
        <v>146</v>
      </c>
      <c r="C206" s="81" t="s">
        <v>145</v>
      </c>
      <c r="D206" s="82">
        <v>7</v>
      </c>
      <c r="E206" s="82">
        <v>7</v>
      </c>
      <c r="F206" s="82" t="s">
        <v>91</v>
      </c>
      <c r="G206" s="81" t="s">
        <v>189</v>
      </c>
    </row>
    <row r="207" spans="2:7">
      <c r="B207" s="437"/>
      <c r="C207" s="81" t="s">
        <v>147</v>
      </c>
      <c r="D207" s="82">
        <v>6</v>
      </c>
      <c r="E207" s="82">
        <v>6</v>
      </c>
      <c r="F207" s="82" t="s">
        <v>92</v>
      </c>
      <c r="G207" s="81" t="s">
        <v>189</v>
      </c>
    </row>
    <row r="208" spans="2:7">
      <c r="B208" s="438"/>
      <c r="C208" s="81" t="s">
        <v>83</v>
      </c>
      <c r="D208" s="81">
        <v>5</v>
      </c>
      <c r="E208" s="81">
        <v>5</v>
      </c>
      <c r="F208" s="81" t="s">
        <v>179</v>
      </c>
      <c r="G208" s="81" t="s">
        <v>190</v>
      </c>
    </row>
    <row r="209" spans="2:7">
      <c r="B209" s="438"/>
      <c r="C209" s="81" t="s">
        <v>148</v>
      </c>
      <c r="D209" s="81">
        <v>4</v>
      </c>
      <c r="E209" s="81">
        <v>2</v>
      </c>
      <c r="F209" s="81" t="s">
        <v>180</v>
      </c>
      <c r="G209" s="81" t="s">
        <v>190</v>
      </c>
    </row>
    <row r="210" spans="2:7">
      <c r="B210" s="438"/>
      <c r="C210" s="82" t="s">
        <v>593</v>
      </c>
      <c r="D210" s="81">
        <v>1</v>
      </c>
      <c r="E210" s="81">
        <v>1</v>
      </c>
      <c r="F210" s="81" t="s">
        <v>182</v>
      </c>
      <c r="G210" s="81" t="s">
        <v>191</v>
      </c>
    </row>
    <row r="211" spans="2:7">
      <c r="B211" s="438"/>
      <c r="C211" s="81" t="s">
        <v>594</v>
      </c>
      <c r="D211" s="81">
        <v>0</v>
      </c>
      <c r="E211" s="82">
        <v>0</v>
      </c>
      <c r="F211" s="81" t="s">
        <v>184</v>
      </c>
      <c r="G211" s="81" t="s">
        <v>191</v>
      </c>
    </row>
    <row r="212" spans="2:7">
      <c r="B212" s="436" t="s">
        <v>149</v>
      </c>
      <c r="C212" s="81" t="s">
        <v>145</v>
      </c>
      <c r="D212" s="82">
        <v>4</v>
      </c>
      <c r="E212" s="82">
        <v>4</v>
      </c>
      <c r="F212" s="82" t="s">
        <v>91</v>
      </c>
      <c r="G212" s="81" t="s">
        <v>185</v>
      </c>
    </row>
    <row r="213" spans="2:7">
      <c r="B213" s="437"/>
      <c r="C213" s="81" t="s">
        <v>147</v>
      </c>
      <c r="D213" s="82">
        <v>3</v>
      </c>
      <c r="E213" s="82">
        <v>3</v>
      </c>
      <c r="F213" s="82" t="s">
        <v>92</v>
      </c>
      <c r="G213" s="81" t="s">
        <v>186</v>
      </c>
    </row>
    <row r="214" spans="2:7">
      <c r="B214" s="438"/>
      <c r="C214" s="81" t="s">
        <v>83</v>
      </c>
      <c r="D214" s="82">
        <v>2</v>
      </c>
      <c r="E214" s="82">
        <v>2</v>
      </c>
      <c r="F214" s="81" t="s">
        <v>179</v>
      </c>
      <c r="G214" s="81" t="s">
        <v>187</v>
      </c>
    </row>
    <row r="215" spans="2:7">
      <c r="B215" s="438"/>
      <c r="C215" s="81" t="s">
        <v>148</v>
      </c>
      <c r="D215" s="82">
        <v>1</v>
      </c>
      <c r="E215" s="82">
        <v>0</v>
      </c>
      <c r="F215" s="81" t="s">
        <v>180</v>
      </c>
      <c r="G215" s="81" t="s">
        <v>187</v>
      </c>
    </row>
    <row r="216" spans="2:7">
      <c r="B216" s="438"/>
      <c r="C216" s="82"/>
      <c r="D216" s="82"/>
      <c r="E216" s="82"/>
      <c r="F216" s="81" t="s">
        <v>182</v>
      </c>
      <c r="G216" s="82" t="s">
        <v>188</v>
      </c>
    </row>
    <row r="217" spans="2:7">
      <c r="B217" s="438"/>
      <c r="C217" s="82"/>
      <c r="D217" s="82"/>
      <c r="E217" s="82"/>
      <c r="F217" s="81" t="s">
        <v>184</v>
      </c>
      <c r="G217" s="82" t="s">
        <v>188</v>
      </c>
    </row>
    <row r="218" spans="2:7" s="196" customFormat="1">
      <c r="B218" s="436" t="s">
        <v>587</v>
      </c>
      <c r="C218" s="81" t="s">
        <v>145</v>
      </c>
      <c r="D218" s="82">
        <v>5</v>
      </c>
      <c r="E218" s="82">
        <v>5</v>
      </c>
      <c r="F218" s="82" t="s">
        <v>91</v>
      </c>
      <c r="G218" s="81" t="s">
        <v>590</v>
      </c>
    </row>
    <row r="219" spans="2:7" s="196" customFormat="1">
      <c r="B219" s="437"/>
      <c r="C219" s="81" t="s">
        <v>147</v>
      </c>
      <c r="D219" s="82">
        <v>4</v>
      </c>
      <c r="E219" s="82">
        <v>4</v>
      </c>
      <c r="F219" s="82" t="s">
        <v>92</v>
      </c>
      <c r="G219" s="81" t="s">
        <v>591</v>
      </c>
    </row>
    <row r="220" spans="2:7" s="196" customFormat="1">
      <c r="B220" s="438"/>
      <c r="C220" s="81" t="s">
        <v>83</v>
      </c>
      <c r="D220" s="82">
        <v>3</v>
      </c>
      <c r="E220" s="82">
        <v>3</v>
      </c>
      <c r="F220" s="81" t="s">
        <v>179</v>
      </c>
      <c r="G220" s="81" t="s">
        <v>589</v>
      </c>
    </row>
    <row r="221" spans="2:7" s="196" customFormat="1">
      <c r="B221" s="438"/>
      <c r="C221" s="81" t="s">
        <v>148</v>
      </c>
      <c r="D221" s="82">
        <v>2</v>
      </c>
      <c r="E221" s="82">
        <v>1</v>
      </c>
      <c r="F221" s="81" t="s">
        <v>180</v>
      </c>
      <c r="G221" s="81" t="s">
        <v>589</v>
      </c>
    </row>
    <row r="222" spans="2:7" s="196" customFormat="1">
      <c r="B222" s="438"/>
      <c r="C222" s="82" t="s">
        <v>588</v>
      </c>
      <c r="D222" s="82">
        <v>0</v>
      </c>
      <c r="E222" s="82">
        <v>0</v>
      </c>
      <c r="F222" s="81" t="s">
        <v>182</v>
      </c>
      <c r="G222" s="82" t="s">
        <v>592</v>
      </c>
    </row>
    <row r="223" spans="2:7" s="196" customFormat="1">
      <c r="B223" s="438"/>
      <c r="C223" s="82"/>
      <c r="D223" s="82"/>
      <c r="E223" s="82"/>
      <c r="F223" s="81" t="s">
        <v>184</v>
      </c>
      <c r="G223" s="82" t="s">
        <v>592</v>
      </c>
    </row>
    <row r="226" spans="1:7">
      <c r="B226" s="110" t="s">
        <v>384</v>
      </c>
      <c r="C226" s="439" t="s">
        <v>364</v>
      </c>
      <c r="D226" s="440"/>
      <c r="E226" s="441"/>
    </row>
    <row r="227" spans="1:7">
      <c r="B227" s="87" t="s">
        <v>383</v>
      </c>
      <c r="C227" s="417" t="s">
        <v>648</v>
      </c>
      <c r="D227" s="418"/>
      <c r="E227" s="419"/>
    </row>
    <row r="228" spans="1:7" ht="64.5" customHeight="1">
      <c r="B228" s="87" t="s">
        <v>298</v>
      </c>
      <c r="C228" s="417" t="s">
        <v>647</v>
      </c>
      <c r="D228" s="418"/>
      <c r="E228" s="419"/>
    </row>
    <row r="229" spans="1:7" ht="34.5" customHeight="1">
      <c r="B229" s="87" t="s">
        <v>385</v>
      </c>
      <c r="C229" s="417" t="s">
        <v>475</v>
      </c>
      <c r="D229" s="418"/>
      <c r="E229" s="419"/>
    </row>
    <row r="230" spans="1:7" ht="37.5" customHeight="1">
      <c r="B230" s="87" t="s">
        <v>388</v>
      </c>
      <c r="C230" s="417" t="s">
        <v>476</v>
      </c>
      <c r="D230" s="418"/>
      <c r="E230" s="419"/>
    </row>
    <row r="231" spans="1:7">
      <c r="B231" s="87" t="s">
        <v>389</v>
      </c>
      <c r="C231" s="465" t="s">
        <v>391</v>
      </c>
      <c r="D231" s="466"/>
      <c r="E231" s="467"/>
    </row>
    <row r="232" spans="1:7" ht="36" customHeight="1">
      <c r="B232" s="87" t="s">
        <v>390</v>
      </c>
      <c r="C232" s="417" t="s">
        <v>474</v>
      </c>
      <c r="D232" s="418"/>
      <c r="E232" s="419"/>
    </row>
    <row r="235" spans="1:7" s="120" customFormat="1"/>
    <row r="237" spans="1:7">
      <c r="A237" s="88" t="s">
        <v>402</v>
      </c>
    </row>
    <row r="238" spans="1:7" ht="44.25" customHeight="1">
      <c r="B238" s="420" t="s">
        <v>404</v>
      </c>
      <c r="C238" s="421"/>
      <c r="D238" s="421"/>
      <c r="E238" s="421"/>
      <c r="F238" s="421"/>
      <c r="G238" s="421"/>
    </row>
    <row r="239" spans="1:7" ht="74.25" customHeight="1">
      <c r="B239" s="420" t="s">
        <v>520</v>
      </c>
      <c r="C239" s="421"/>
      <c r="D239" s="421"/>
      <c r="E239" s="421"/>
      <c r="F239" s="421"/>
      <c r="G239" s="421"/>
    </row>
    <row r="240" spans="1:7" ht="19.5" customHeight="1">
      <c r="B240" s="85"/>
      <c r="C240" s="85"/>
      <c r="D240" s="85"/>
      <c r="E240" s="85"/>
      <c r="F240" s="85"/>
      <c r="G240" s="85"/>
    </row>
    <row r="243" spans="1:7" s="120" customFormat="1">
      <c r="A243" s="121" t="s">
        <v>418</v>
      </c>
    </row>
    <row r="244" spans="1:7">
      <c r="B244" s="123" t="s">
        <v>408</v>
      </c>
      <c r="C244" s="122" t="s">
        <v>407</v>
      </c>
    </row>
    <row r="245" spans="1:7" ht="147" customHeight="1">
      <c r="B245" s="420" t="s">
        <v>584</v>
      </c>
      <c r="C245" s="420"/>
      <c r="D245" s="420"/>
      <c r="E245" s="420"/>
      <c r="F245" s="420"/>
      <c r="G245" s="420"/>
    </row>
  </sheetData>
  <mergeCells count="116"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dimension ref="A1:F34"/>
  <sheetViews>
    <sheetView workbookViewId="0">
      <selection activeCell="E20" sqref="E20"/>
    </sheetView>
  </sheetViews>
  <sheetFormatPr defaultColWidth="8.75" defaultRowHeight="14.25"/>
  <cols>
    <col min="1" max="1" width="8.75" style="148"/>
    <col min="2" max="2" width="16" style="279" bestFit="1" customWidth="1"/>
    <col min="3" max="6" width="24.25" style="279" bestFit="1" customWidth="1"/>
    <col min="7" max="16384" width="8.75" style="148"/>
  </cols>
  <sheetData>
    <row r="1" spans="1:6" ht="15">
      <c r="B1" s="149" t="s">
        <v>687</v>
      </c>
      <c r="C1" s="152" t="s">
        <v>563</v>
      </c>
      <c r="D1" s="152" t="s">
        <v>564</v>
      </c>
      <c r="E1" s="152" t="s">
        <v>765</v>
      </c>
      <c r="F1" s="152" t="s">
        <v>765</v>
      </c>
    </row>
    <row r="2" spans="1:6" ht="15">
      <c r="B2" s="154" t="s">
        <v>690</v>
      </c>
      <c r="C2" s="156" t="s">
        <v>690</v>
      </c>
      <c r="D2" s="156" t="s">
        <v>690</v>
      </c>
      <c r="E2" s="156" t="s">
        <v>690</v>
      </c>
      <c r="F2" s="156" t="s">
        <v>690</v>
      </c>
    </row>
    <row r="3" spans="1:6">
      <c r="B3" s="148"/>
      <c r="C3" s="148"/>
      <c r="D3" s="148"/>
      <c r="E3" s="148"/>
      <c r="F3" s="148"/>
    </row>
    <row r="4" spans="1:6">
      <c r="A4" s="288" t="s">
        <v>939</v>
      </c>
      <c r="B4" s="288" t="s">
        <v>941</v>
      </c>
      <c r="C4" s="287"/>
      <c r="D4" s="287"/>
      <c r="E4" s="148"/>
      <c r="F4" s="148"/>
    </row>
    <row r="5" spans="1:6">
      <c r="A5" s="288" t="s">
        <v>939</v>
      </c>
      <c r="B5" s="288" t="s">
        <v>942</v>
      </c>
      <c r="C5" s="287"/>
      <c r="D5" s="287"/>
      <c r="E5" s="148"/>
      <c r="F5" s="148"/>
    </row>
    <row r="6" spans="1:6">
      <c r="A6" s="288" t="s">
        <v>939</v>
      </c>
      <c r="B6" s="288" t="s">
        <v>943</v>
      </c>
      <c r="C6" s="287"/>
      <c r="D6" s="287"/>
      <c r="E6" s="148"/>
      <c r="F6" s="148"/>
    </row>
    <row r="7" spans="1:6">
      <c r="A7" s="288" t="s">
        <v>939</v>
      </c>
      <c r="B7" s="288" t="s">
        <v>944</v>
      </c>
      <c r="C7" s="287"/>
      <c r="D7" s="287"/>
      <c r="E7" s="148"/>
      <c r="F7" s="148"/>
    </row>
    <row r="8" spans="1:6">
      <c r="A8" s="288" t="s">
        <v>939</v>
      </c>
      <c r="B8" s="288" t="s">
        <v>945</v>
      </c>
      <c r="C8" s="287"/>
      <c r="D8" s="287"/>
      <c r="E8" s="148"/>
      <c r="F8" s="148"/>
    </row>
    <row r="9" spans="1:6">
      <c r="A9" s="288" t="s">
        <v>939</v>
      </c>
      <c r="B9" s="288" t="s">
        <v>946</v>
      </c>
      <c r="C9" s="287"/>
      <c r="D9" s="287"/>
      <c r="E9" s="148"/>
      <c r="F9" s="148"/>
    </row>
    <row r="10" spans="1:6">
      <c r="A10" s="288" t="s">
        <v>939</v>
      </c>
      <c r="B10" s="288" t="s">
        <v>947</v>
      </c>
      <c r="C10" s="287"/>
      <c r="D10" s="287"/>
      <c r="E10" s="148"/>
      <c r="F10" s="148"/>
    </row>
    <row r="11" spans="1:6">
      <c r="A11" s="288" t="s">
        <v>939</v>
      </c>
      <c r="B11" s="288" t="s">
        <v>948</v>
      </c>
      <c r="C11" s="287"/>
      <c r="D11" s="287"/>
      <c r="E11" s="148"/>
      <c r="F11" s="148"/>
    </row>
    <row r="12" spans="1:6">
      <c r="A12" s="288" t="s">
        <v>939</v>
      </c>
      <c r="B12" s="288" t="s">
        <v>949</v>
      </c>
      <c r="C12" s="287"/>
      <c r="D12" s="287"/>
      <c r="E12" s="148"/>
      <c r="F12" s="148"/>
    </row>
    <row r="13" spans="1:6">
      <c r="A13" s="288" t="s">
        <v>939</v>
      </c>
      <c r="B13" s="288" t="s">
        <v>950</v>
      </c>
      <c r="C13" s="288" t="s">
        <v>770</v>
      </c>
      <c r="D13" s="287"/>
      <c r="E13" s="148"/>
      <c r="F13" s="148"/>
    </row>
    <row r="14" spans="1:6">
      <c r="A14" s="288"/>
      <c r="B14" s="287"/>
      <c r="C14" s="287"/>
      <c r="D14" s="287"/>
      <c r="E14" s="148"/>
      <c r="F14" s="148"/>
    </row>
    <row r="15" spans="1:6">
      <c r="A15" s="288" t="s">
        <v>939</v>
      </c>
      <c r="B15" s="289" t="s">
        <v>959</v>
      </c>
      <c r="C15" s="287"/>
      <c r="D15" s="287"/>
      <c r="E15" s="148"/>
      <c r="F15" s="148"/>
    </row>
    <row r="16" spans="1:6">
      <c r="A16" s="288" t="s">
        <v>939</v>
      </c>
      <c r="B16" s="289" t="s">
        <v>960</v>
      </c>
      <c r="C16" s="287"/>
      <c r="D16" s="287"/>
      <c r="E16" s="148"/>
      <c r="F16" s="148"/>
    </row>
    <row r="17" spans="1:6">
      <c r="A17" s="288" t="s">
        <v>939</v>
      </c>
      <c r="B17" s="289" t="s">
        <v>961</v>
      </c>
      <c r="C17" s="288" t="s">
        <v>798</v>
      </c>
      <c r="D17" s="287"/>
      <c r="E17" s="148"/>
      <c r="F17" s="148"/>
    </row>
    <row r="18" spans="1:6">
      <c r="A18" s="288"/>
      <c r="B18" s="287"/>
      <c r="C18" s="287"/>
      <c r="D18" s="287"/>
      <c r="E18" s="148"/>
      <c r="F18" s="148"/>
    </row>
    <row r="19" spans="1:6">
      <c r="A19" s="288" t="s">
        <v>939</v>
      </c>
      <c r="B19" s="288" t="s">
        <v>951</v>
      </c>
      <c r="C19" s="288" t="s">
        <v>792</v>
      </c>
      <c r="D19" s="287"/>
      <c r="E19" s="148"/>
      <c r="F19" s="148"/>
    </row>
    <row r="20" spans="1:6">
      <c r="A20" s="288" t="s">
        <v>939</v>
      </c>
      <c r="B20" s="288" t="s">
        <v>952</v>
      </c>
      <c r="C20" s="288" t="s">
        <v>800</v>
      </c>
      <c r="D20" s="288" t="s">
        <v>793</v>
      </c>
      <c r="E20" s="148"/>
      <c r="F20" s="148"/>
    </row>
    <row r="21" spans="1:6">
      <c r="A21" s="288"/>
      <c r="B21" s="287"/>
      <c r="C21" s="287"/>
      <c r="D21" s="287"/>
      <c r="E21" s="148"/>
      <c r="F21" s="148"/>
    </row>
    <row r="22" spans="1:6">
      <c r="A22" s="288" t="s">
        <v>939</v>
      </c>
      <c r="B22" s="288" t="s">
        <v>962</v>
      </c>
      <c r="C22" s="288" t="s">
        <v>794</v>
      </c>
      <c r="D22" s="290"/>
      <c r="E22" s="148"/>
      <c r="F22" s="148"/>
    </row>
    <row r="23" spans="1:6">
      <c r="A23" s="288" t="s">
        <v>939</v>
      </c>
      <c r="B23" s="288" t="s">
        <v>703</v>
      </c>
      <c r="C23" s="288" t="s">
        <v>795</v>
      </c>
      <c r="D23" s="290"/>
      <c r="E23" s="148"/>
      <c r="F23" s="148"/>
    </row>
    <row r="24" spans="1:6">
      <c r="A24" s="288" t="s">
        <v>939</v>
      </c>
      <c r="B24" s="288" t="s">
        <v>771</v>
      </c>
      <c r="C24" s="288" t="s">
        <v>814</v>
      </c>
      <c r="D24" s="288" t="s">
        <v>796</v>
      </c>
      <c r="E24" s="148"/>
      <c r="F24" s="148"/>
    </row>
    <row r="25" spans="1:6">
      <c r="A25" s="288" t="s">
        <v>939</v>
      </c>
      <c r="B25" s="288" t="s">
        <v>704</v>
      </c>
      <c r="C25" s="288" t="s">
        <v>797</v>
      </c>
      <c r="D25" s="287"/>
      <c r="E25" s="148"/>
      <c r="F25" s="148"/>
    </row>
    <row r="26" spans="1:6">
      <c r="A26" s="288"/>
      <c r="B26" s="287"/>
      <c r="C26" s="287"/>
      <c r="D26" s="287"/>
      <c r="E26" s="148"/>
      <c r="F26" s="148"/>
    </row>
    <row r="27" spans="1:6">
      <c r="A27" s="288" t="s">
        <v>939</v>
      </c>
      <c r="B27" s="288" t="s">
        <v>953</v>
      </c>
      <c r="C27" s="287"/>
      <c r="D27" s="287"/>
      <c r="E27" s="148"/>
      <c r="F27" s="148"/>
    </row>
    <row r="28" spans="1:6">
      <c r="A28" s="288"/>
      <c r="B28" s="287"/>
      <c r="C28" s="287"/>
      <c r="D28" s="287"/>
      <c r="E28" s="148"/>
      <c r="F28" s="148"/>
    </row>
    <row r="29" spans="1:6">
      <c r="A29" s="288" t="s">
        <v>939</v>
      </c>
      <c r="B29" s="289" t="s">
        <v>954</v>
      </c>
      <c r="C29" s="287"/>
      <c r="D29" s="287"/>
      <c r="E29" s="148"/>
      <c r="F29" s="148"/>
    </row>
    <row r="30" spans="1:6">
      <c r="A30" s="288" t="s">
        <v>939</v>
      </c>
      <c r="B30" s="289" t="s">
        <v>955</v>
      </c>
      <c r="C30" s="287"/>
      <c r="D30" s="287"/>
      <c r="E30" s="148"/>
      <c r="F30" s="148"/>
    </row>
    <row r="31" spans="1:6">
      <c r="A31" s="288" t="s">
        <v>939</v>
      </c>
      <c r="B31" s="289" t="s">
        <v>956</v>
      </c>
      <c r="C31" s="287"/>
      <c r="D31" s="287"/>
      <c r="E31" s="148"/>
      <c r="F31" s="148"/>
    </row>
    <row r="32" spans="1:6">
      <c r="A32" s="288" t="s">
        <v>939</v>
      </c>
      <c r="B32" s="289" t="s">
        <v>957</v>
      </c>
      <c r="C32" s="287"/>
      <c r="D32" s="287"/>
      <c r="E32" s="148"/>
      <c r="F32" s="148"/>
    </row>
    <row r="33" spans="1:6">
      <c r="A33" s="288" t="s">
        <v>939</v>
      </c>
      <c r="B33" s="289" t="s">
        <v>958</v>
      </c>
      <c r="C33" s="287"/>
      <c r="D33" s="287"/>
      <c r="E33" s="148"/>
      <c r="F33" s="148"/>
    </row>
    <row r="34" spans="1:6">
      <c r="E34" s="148"/>
      <c r="F34" s="148"/>
    </row>
  </sheetData>
  <phoneticPr fontId="3" type="noConversion"/>
  <dataValidations count="1">
    <dataValidation showDropDown="1" showInputMessage="1" showErrorMessage="1" sqref="B39:B42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'IO Pad'!_a1</vt:lpstr>
      <vt:lpstr>Package!_a1</vt:lpstr>
      <vt:lpstr>_a1</vt:lpstr>
      <vt:lpstr>'IO Pad'!_a10</vt:lpstr>
      <vt:lpstr>_a10</vt:lpstr>
      <vt:lpstr>'IO Pad'!_a11</vt:lpstr>
      <vt:lpstr>'IO Pad'!_a12</vt:lpstr>
      <vt:lpstr>'IO Pad'!_a13</vt:lpstr>
      <vt:lpstr>'IO Pad'!_a14</vt:lpstr>
      <vt:lpstr>'IO Pad'!_a15</vt:lpstr>
      <vt:lpstr>'IO Pad'!_a16</vt:lpstr>
      <vt:lpstr>'IO Pad'!_a17</vt:lpstr>
      <vt:lpstr>'IO Pad'!_a18</vt:lpstr>
      <vt:lpstr>'IO Pad'!_a19</vt:lpstr>
      <vt:lpstr>'IO Pad'!_a2</vt:lpstr>
      <vt:lpstr>'IO Pad'!_a20</vt:lpstr>
      <vt:lpstr>'IO Pad'!_a21</vt:lpstr>
      <vt:lpstr>'IO Pad'!_a22</vt:lpstr>
      <vt:lpstr>'IO Pad'!_a23</vt:lpstr>
      <vt:lpstr>'IO Pad'!_a24</vt:lpstr>
      <vt:lpstr>'IO Pad'!_a25</vt:lpstr>
      <vt:lpstr>'IO Pad'!_a3</vt:lpstr>
      <vt:lpstr>'IO Pad'!_a4</vt:lpstr>
      <vt:lpstr>'IO Pad'!_a5</vt:lpstr>
      <vt:lpstr>'IO Pad'!_a6</vt:lpstr>
      <vt:lpstr>'IO Pad'!_a7</vt:lpstr>
      <vt:lpstr>'IO Pad'!_a8</vt:lpstr>
      <vt:lpstr>'IO Pad'!_a9</vt:lpstr>
      <vt:lpstr>boot</vt:lpstr>
      <vt:lpstr>Function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z00228752</cp:lastModifiedBy>
  <cp:lastPrinted>2010-07-08T11:53:37Z</cp:lastPrinted>
  <dcterms:created xsi:type="dcterms:W3CDTF">2004-05-21T06:54:18Z</dcterms:created>
  <dcterms:modified xsi:type="dcterms:W3CDTF">2014-06-23T11:32:02Z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(3)pzVk6Mtjw/IlqGZ3Ydssl9Q8+W1Cu0/gW80db+StmsX+DJ0o3W9r1q3ZNBRudQP7tWZ3mQnG_x000d_
7EkzHy8tWgSy+OBZL+OzUClNkhEm2LXhVWxrWq9NdQm5Kjdzog2VADcWCQcGO/cYezq9v2U3_x000d_
ilizBy9F1NsNJyCWOnF4OuxDyFyWhOvBAxqUbo8xu9W1x+iEb2PvxaW9lZxSDyrr69mVCtLS_x000d_
Xa+4HSCzFHW3152f9S</vt:lpwstr>
  </property>
  <property fmtid="{D5CDD505-2E9C-101B-9397-08002B2CF9AE}" pid="6" name="_new_ms_pID_725431">
    <vt:lpwstr>g+VuyhC1v5mQr/0WbdYgSV4ZGHZwEc+uwBz5FNPxRUbnwRZHCdnOPs_x000d_
r1hdmVFxo9qnXRWVEa3Up5dxz/xdHxIvlPs8GfHRr/O709O3gn6rDpKDNsPdmqzixkfJHtWh_x000d_
1fUT+P7aojKbJNFjUCYvufHM/Xc6UUUcdLRMduEUKC50AMsESaUG6B7Wevnvh7KCZmFy9dvZ_x000d_
iGw8U47cptjXZ6vLUC5F+BX9uLL3uxKrtDZQ</vt:lpwstr>
  </property>
  <property fmtid="{D5CDD505-2E9C-101B-9397-08002B2CF9AE}" pid="7" name="_new_ms_pID_725432">
    <vt:lpwstr>IaZt+awGzxFhzvmMgr3nTPpbYqdrsWsmoiwZ_x000d_
iO1EfWJ3EaH47PYbzq/E5mFPezRa1w==</vt:lpwstr>
  </property>
  <property fmtid="{D5CDD505-2E9C-101B-9397-08002B2CF9AE}" pid="8" name="sflag">
    <vt:lpwstr>1403522281</vt:lpwstr>
  </property>
</Properties>
</file>